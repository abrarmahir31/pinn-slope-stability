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14_QC_Findings" sheetId="2" state="visible" r:id="rId4"/>
    <sheet name="01_Fig07_HydHead" sheetId="3" state="visible" r:id="rId5"/>
    <sheet name="02_Fig08_Cv" sheetId="4" state="visible" r:id="rId6"/>
    <sheet name="03_Fig09_Inflow" sheetId="5" state="visible" r:id="rId7"/>
    <sheet name="04_Fig10a_Piezo" sheetId="6" state="visible" r:id="rId8"/>
    <sheet name="05_Fig11_ShearCurves" sheetId="7" state="visible" r:id="rId9"/>
    <sheet name="06_Fig14a_cphi_INS1" sheetId="8" state="visible" r:id="rId10"/>
    <sheet name="07_Fig14b_cphi_INS23" sheetId="9" state="visible" r:id="rId11"/>
    <sheet name="08_Fig17a_Debris" sheetId="10" state="visible" r:id="rId12"/>
    <sheet name="09_Fig17b_Sekkoy" sheetId="11" state="visible" r:id="rId13"/>
    <sheet name="10_Fig18b_H7" sheetId="12" state="visible" r:id="rId14"/>
    <sheet name="11_Fig18c_H10" sheetId="13" state="visible" r:id="rId15"/>
    <sheet name="12_Fig19_FoS" sheetId="14" state="visible" r:id="rId16"/>
    <sheet name="13_Fig19_Geometry"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<sst xmlns="http://schemas.openxmlformats.org/spreadsheetml/2006/main" count="712" uniqueCount="449">
  <si>
    <t xml:space="preserve">Digitised figure data - Ulusay et al. (2014), Isikdere lignite open pit</t>
  </si>
  <si>
    <t xml:space="preserve">Source: Ulusay, R., Ekmekci, M., Tuncay, E., Hasancebi, N. (2014). Improvement of slope stability based on integrated geotechnical evaluations and hydrogeological conceptualisation at a lignite open pit. Engineering Geology 181, 261-280.  Digitised 28 July 2026 for the PINN coupled hydro-mechanical thesis.</t>
  </si>
  <si>
    <t xml:space="preserve">CONFIDENCE GRADES - read this before using any number</t>
  </si>
  <si>
    <t xml:space="preserve">Grade</t>
  </si>
  <si>
    <t xml:space="preserve">Meaning</t>
  </si>
  <si>
    <t xml:space="preserve">Typical error</t>
  </si>
  <si>
    <t xml:space="preserve">Applies to</t>
  </si>
  <si>
    <t xml:space="preserve">A</t>
  </si>
  <si>
    <t xml:space="preserve">Exact value printed on the figure, or a curve reconstructed from the paper's own analytical equation and cross-checked against a published number.</t>
  </si>
  <si>
    <t xml:space="preserve">0 (A-print) / &lt;1% (A-fit)</t>
  </si>
  <si>
    <t xml:space="preserve">Fig.19 F-values &amp; stage elevations; Fig.9 inflow; Fig.10a piezometric heads</t>
  </si>
  <si>
    <t xml:space="preserve">B</t>
  </si>
  <si>
    <t xml:space="preserve">Read off discrete plotted markers or bar tops against a clean axis.</t>
  </si>
  <si>
    <t xml:space="preserve">+/- 1-3% of full scale</t>
  </si>
  <si>
    <t xml:space="preserve">Fig.7, Fig.8, Fig.14a, Fig.14b, Fig.18b, Fig.18c</t>
  </si>
  <si>
    <t xml:space="preserve">C</t>
  </si>
  <si>
    <t xml:space="preserve">Eyeballed from a continuous or crowded curve at low raster resolution.</t>
  </si>
  <si>
    <t xml:space="preserve">+/- 5-10% of full scale</t>
  </si>
  <si>
    <t xml:space="preserve">Fig.11 shear curves; Fig.17a/b chart families; Fig.19 section geometry</t>
  </si>
  <si>
    <t xml:space="preserve">SHEET INDEX</t>
  </si>
  <si>
    <t xml:space="preserve">Sheet</t>
  </si>
  <si>
    <t xml:space="preserve">Paper figure</t>
  </si>
  <si>
    <t xml:space="preserve">What it contains</t>
  </si>
  <si>
    <t xml:space="preserve">01_Fig07_HydHead</t>
  </si>
  <si>
    <t xml:space="preserve">Fig. 7</t>
  </si>
  <si>
    <t xml:space="preserve">Min / max / average hydraulic head, 23 monitoring wells, grouped by unit</t>
  </si>
  <si>
    <t xml:space="preserve">02_Fig08_Cv</t>
  </si>
  <si>
    <t xml:space="preserve">Fig. 8</t>
  </si>
  <si>
    <t xml:space="preserve">Coefficient of variation + average head per well (axis-assignment corrected)</t>
  </si>
  <si>
    <t xml:space="preserve">03_Fig09_Inflow</t>
  </si>
  <si>
    <t xml:space="preserve">Fig. 9</t>
  </si>
  <si>
    <t xml:space="preserve">Coal-seam inflow rate, days 1-30, analytically reconstructed</t>
  </si>
  <si>
    <t xml:space="preserve">A-fit</t>
  </si>
  <si>
    <t xml:space="preserve">04_Fig10a_Piezo</t>
  </si>
  <si>
    <t xml:space="preserve">Fig. 10a</t>
  </si>
  <si>
    <t xml:space="preserve">Piezometric level h(x,t), x = 0-500 m, t = 1-10 days, erfc solution</t>
  </si>
  <si>
    <t xml:space="preserve">05_Fig11_ShearCurves</t>
  </si>
  <si>
    <t xml:space="preserve">Fig. 11</t>
  </si>
  <si>
    <t xml:space="preserve">Shear stress vs shear displacement, 4 normal stresses + strength fits</t>
  </si>
  <si>
    <t xml:space="preserve">06_Fig14a_cphi_INS1</t>
  </si>
  <si>
    <t xml:space="preserve">Fig. 14a</t>
  </si>
  <si>
    <t xml:space="preserve">Back-analysed c-phi limit-equilibrium envelopes, INS-1</t>
  </si>
  <si>
    <t xml:space="preserve">07_Fig14b_cphi_INS23</t>
  </si>
  <si>
    <t xml:space="preserve">Fig. 14b</t>
  </si>
  <si>
    <t xml:space="preserve">Back-analysed c-phi envelopes, INS-2 and INS-3</t>
  </si>
  <si>
    <t xml:space="preserve">08_Fig17a_Debris</t>
  </si>
  <si>
    <t xml:space="preserve">Fig. 17a</t>
  </si>
  <si>
    <t xml:space="preserve">F vs slope angle, slope debris, H = 2-20 m (circular failure)</t>
  </si>
  <si>
    <t xml:space="preserve">09_Fig17b_Sekkoy</t>
  </si>
  <si>
    <t xml:space="preserve">Fig. 17b</t>
  </si>
  <si>
    <t xml:space="preserve">F vs slope angle, Sekkoy Fm., H = 7-140 m (circular failure)</t>
  </si>
  <si>
    <t xml:space="preserve">10_Fig18b_H7</t>
  </si>
  <si>
    <t xml:space="preserve">Fig. 18b</t>
  </si>
  <si>
    <t xml:space="preserve">Slope angle vs F, planar failure, H = 7 m, bedding dip 15-30 deg</t>
  </si>
  <si>
    <t xml:space="preserve">11_Fig18c_H10</t>
  </si>
  <si>
    <t xml:space="preserve">Fig. 18c</t>
  </si>
  <si>
    <t xml:space="preserve">Slope angle vs F, planar failure, H = 10 m, bedding dip 15-30 deg</t>
  </si>
  <si>
    <t xml:space="preserve">12_Fig19_FoS</t>
  </si>
  <si>
    <t xml:space="preserve">Fig. 19a-e</t>
  </si>
  <si>
    <t xml:space="preserve">Every printed F value, stage elevation and slope angle (remedial measures)</t>
  </si>
  <si>
    <t xml:space="preserve">13_Fig19_Geometry</t>
  </si>
  <si>
    <t xml:space="preserve">Indicative ground-surface profiles and stratigraphic stacking order</t>
  </si>
  <si>
    <t xml:space="preserve">14_QC_Findings</t>
  </si>
  <si>
    <t xml:space="preserve">-</t>
  </si>
  <si>
    <t xml:space="preserve">Three errors/inconsistencies found in the published figures - READ THIS</t>
  </si>
  <si>
    <t xml:space="preserve">HOW THE 'A-fit' CURVES WERE MADE. Figures 9 and 10a are plots of closed-form analytical solutions that the paper states explicitly (Nguyen &amp; Raudkivi, 1982). Rather than eyeballing pixels, the governing equation was re-fitted to the plotted curve and validated against an independent number printed in the text. That makes these two datasets more accurate than any pixel-based digitiser could achieve, and they regenerate at any resolution you like - the parameter cells are live.</t>
  </si>
  <si>
    <t xml:space="preserve">WHAT TO DO NEXT. Grade C sheets (05, 08, 09, 13) are first-pass only. If any of them feeds a quantitative claim in your thesis, re-digitise from the original vector PDF with WebPlotDigitizer rather than trusting these numbers. Grade A and B sheets are fit for direct use as PINN boundary conditions and validation targets.</t>
  </si>
  <si>
    <t xml:space="preserve">Quality-control findings - inconsistencies in the published figures</t>
  </si>
  <si>
    <t xml:space="preserve">Each of these would silently corrupt a downstream model if copied uncritically. Evidence and recommended treatment given.</t>
  </si>
  <si>
    <t xml:space="preserve">#</t>
  </si>
  <si>
    <t xml:space="preserve">Figure</t>
  </si>
  <si>
    <t xml:space="preserve">The problem</t>
  </si>
  <si>
    <t xml:space="preserve">Evidence</t>
  </si>
  <si>
    <t xml:space="preserve">Recommended treatment</t>
  </si>
  <si>
    <t xml:space="preserve">The caption/text states an initial inflow rate of 0.056 m3/day per m, but the plotted curve starts at 0.56 - a factor of ten apart.</t>
  </si>
  <si>
    <t xml:space="preserve">The paper also states a 30-day cumulative inflow of 5.37 m3 per m. Summing q(t) = 0.56/sqrt(t) over t = 1...30 days gives 5.368 m3/m, matching to three significant figures. Summing the 0.056 version gives 0.537 m3/m - ten times too small. The plotted value is correct; the 0.056 in the text is a typographic error.</t>
  </si>
  <si>
    <t xml:space="preserve">Use q1 = 0.56 m3/day/m. Your Step 1.1 SI master sheet currently carries 0.056 (6.48e-7 m3/s/m) - that flux boundary condition needs correcting to 6.48e-6 m3/s/m.</t>
  </si>
  <si>
    <t xml:space="preserve">The two data series are plotted against the opposite axes to the ones the axis titles imply. Taken at face value the figure says most wells have a coefficient of variation of 6-8%.</t>
  </si>
  <si>
    <t xml:space="preserve">The red line reads 163-227 on the left axis and reproduces the Fig. 7 average heads almost exactly (GK.10 = 112, GK.11 = 226). The text states Cv never exceeds 10% and is below 5% in the great majority of wells - true only if the blue bars are read on the right-hand (Cv) axis, which gives 0.05-8.4%.</t>
  </si>
  <si>
    <t xml:space="preserve">Read blue bars as Cv on the right axis, red line as average head on the left axis. Sheet 02 stores them corrected.</t>
  </si>
  <si>
    <t xml:space="preserve">The four normal-stress labels appear alongside the curves in ascending order top-to-bottom, which would mean shear strength decreases as normal stress increases.</t>
  </si>
  <si>
    <t xml:space="preserve">Reversing the assignment (highest curve = 260 kPa) gives peak c = 0, phi = 29.6 deg and residual c = 0, phi = 14.8 deg. Those match Table 3a row 1 (bedding without infill, water-filled shear box: peak 0 / 27.9, residual 0 / 14.4) to within the digitisation error. The ascending reading gives a physically impossible phi_peak of 65 deg at 68 kPa.</t>
  </si>
  <si>
    <t xml:space="preserve">Assign the highest curve to sigma_n = 260 kPa. Sheet 05 uses this mapping and stores the label-order alternative beside it for transparency.</t>
  </si>
  <si>
    <t xml:space="preserve">A fourth, softer inconsistency: Fig. 19e prints F = 1.250 for a 20-degree slope, while the text says flattening to 20 degrees achieves the minimum acceptable F of 1.3. The figure's own 18-degree case gives 1.346. If you benchmark your PINN-SSR against section 7, benchmark against 1.250 at 20 degrees, not against 1.3.</t>
  </si>
  <si>
    <t xml:space="preserve">Fig. 7 - Hydraulic head statistics, 23 monitoring wells (Aug 2010 - Jul 2011)</t>
  </si>
  <si>
    <t xml:space="preserve">Bar-top readings against a 0-250 masl axis with 50 m gridlines. Grade B, +/- 1.5 m. Average column is taken from the Fig. 8 red line, which is the same quantity plotted at higher resolution.</t>
  </si>
  <si>
    <t xml:space="preserve">Well</t>
  </si>
  <si>
    <t xml:space="preserve">Hydrostratigraphic unit</t>
  </si>
  <si>
    <t xml:space="preserve">Min head (masl)</t>
  </si>
  <si>
    <t xml:space="preserve">Max head (masl)</t>
  </si>
  <si>
    <t xml:space="preserve">Average head (masl)</t>
  </si>
  <si>
    <t xml:space="preserve">Range (m)</t>
  </si>
  <si>
    <t xml:space="preserve">Notes</t>
  </si>
  <si>
    <t xml:space="preserve">AL1</t>
  </si>
  <si>
    <t xml:space="preserve">Alluvium</t>
  </si>
  <si>
    <t xml:space="preserve">AL2</t>
  </si>
  <si>
    <t xml:space="preserve">AL3</t>
  </si>
  <si>
    <t xml:space="preserve">AL4</t>
  </si>
  <si>
    <t xml:space="preserve">AL5</t>
  </si>
  <si>
    <t xml:space="preserve">AL6</t>
  </si>
  <si>
    <t xml:space="preserve">Most stable well in the network (Cv ~0.05%)</t>
  </si>
  <si>
    <t xml:space="preserve">GK.1</t>
  </si>
  <si>
    <t xml:space="preserve">Bedrock carbonate</t>
  </si>
  <si>
    <t xml:space="preserve">GK.4</t>
  </si>
  <si>
    <t xml:space="preserve">Strongly skewed; one low outlier reading</t>
  </si>
  <si>
    <t xml:space="preserve">GK.7</t>
  </si>
  <si>
    <t xml:space="preserve">Upper bound of the 113-197 masl range quoted in text</t>
  </si>
  <si>
    <t xml:space="preserve">GK.10</t>
  </si>
  <si>
    <t xml:space="preserve">Lower bound of the 113-197 masl range quoted in text</t>
  </si>
  <si>
    <t xml:space="preserve">GK.13</t>
  </si>
  <si>
    <t xml:space="preserve">Coal seam</t>
  </si>
  <si>
    <t xml:space="preserve">GKD1</t>
  </si>
  <si>
    <t xml:space="preserve">GK.8</t>
  </si>
  <si>
    <t xml:space="preserve">GK.9</t>
  </si>
  <si>
    <t xml:space="preserve">GK.11</t>
  </si>
  <si>
    <t xml:space="preserve">Highest head in the network</t>
  </si>
  <si>
    <t xml:space="preserve">GK.14</t>
  </si>
  <si>
    <t xml:space="preserve">GK.17</t>
  </si>
  <si>
    <t xml:space="preserve">Fault-bounded low compartment</t>
  </si>
  <si>
    <t xml:space="preserve">GK.18</t>
  </si>
  <si>
    <t xml:space="preserve">GK8'</t>
  </si>
  <si>
    <t xml:space="preserve">Largest seasonal range in the coal seam</t>
  </si>
  <si>
    <t xml:space="preserve">GK.16</t>
  </si>
  <si>
    <t xml:space="preserve">Turgut &amp; others</t>
  </si>
  <si>
    <t xml:space="preserve">GK.19</t>
  </si>
  <si>
    <t xml:space="preserve">GK.20</t>
  </si>
  <si>
    <t xml:space="preserve">GKD2</t>
  </si>
  <si>
    <t xml:space="preserve">Coal-seam average</t>
  </si>
  <si>
    <t xml:space="preserve">9 wells, GK.13 to GK8'</t>
  </si>
  <si>
    <t xml:space="preserve">Bedrock average</t>
  </si>
  <si>
    <t xml:space="preserve">4 wells, GK.1 to GK.10</t>
  </si>
  <si>
    <t xml:space="preserve">Validation: the paper states the karstic bedrock head ranges 113-197 masl. The digitised bedrock averages span 112.0 (GK.10) to 197.0 (GK.7) - i.e. the quoted range is the range of AVERAGE heads, not of individual readings. This independently confirms the digitisation to within 1 m. One well, GK.9, fails the cross-check on sheet 02 by 0.5 m - its Fig. 8 average sits just above the min-max band read from Fig. 7, which is inside the stated +/- 1.5 m tolerance rather than a real contradiction. Likewise the paper's 'coal seam head generally above 205 masl' holds for 5 of the 9 coal wells; the other four (GK.13, GKD1, GK.17, GK.18) sit in separate fault-bounded compartments, which is exactly the compartmentalisation the paper describes.</t>
  </si>
  <si>
    <t xml:space="preserve">Fig. 8 - Temporal variation of hydraulic head (coefficient of variation)</t>
  </si>
  <si>
    <t xml:space="preserve">AXIS ASSIGNMENT CORRECTED - see sheet 14, finding #2. Blue bars = Cv on the right-hand axis (0-9%); red line = average head on the left-hand axis (0-250 masl).</t>
  </si>
  <si>
    <t xml:space="preserve">Unit</t>
  </si>
  <si>
    <t xml:space="preserve">Cv (%)  [blue bars, right axis]</t>
  </si>
  <si>
    <t xml:space="preserve">Average head (masl)  [red line, left axis]</t>
  </si>
  <si>
    <t xml:space="preserve">Cross-check: average inside Fig. 7 min-max?</t>
  </si>
  <si>
    <t xml:space="preserve">Maximum Cv</t>
  </si>
  <si>
    <t xml:space="preserve">Paper: 'did not exceed 10%'</t>
  </si>
  <si>
    <t xml:space="preserve">Wells with Cv &lt; 5%</t>
  </si>
  <si>
    <t xml:space="preserve">of 23</t>
  </si>
  <si>
    <t xml:space="preserve">Paper: 'great majority below 5%'</t>
  </si>
  <si>
    <t xml:space="preserve">Interpretation for the PINN: Cv below 5% in 20 of 23 wells means the coal-seam head field is effectively steady over the monitoring year. That justifies treating the pre-excavation piezometric field as a steady-state initial condition, with transience introduced only by the excavation itself - which is precisely what the Fig. 10a solution models. The three high-Cv wells (GK.4, GK8', GKD2) sit near faults and are the ones to exclude from any steady-state calibration target.</t>
  </si>
  <si>
    <t xml:space="preserve">Fig. 9 - Inflow rate to the excavation from the coal-seam aquifer</t>
  </si>
  <si>
    <t xml:space="preserve">Reconstructed from the analytical solution rather than pixel-read. For a step drawdown at a seepage face, q(t) = s_w*sqrt(T*S/(pi*t)) = q1/sqrt(t). Fitting q1 to the plotted day-1 value and validating against the paper's published 30-day cumulative gives an exact match. Grade A-fit.</t>
  </si>
  <si>
    <t xml:space="preserve">Parameters (edit the yellow cell to regenerate)</t>
  </si>
  <si>
    <t xml:space="preserve">q1 = inflow at t = 1 day</t>
  </si>
  <si>
    <t xml:space="preserve">m3/day per m of excavation</t>
  </si>
  <si>
    <t xml:space="preserve">Read from plotted day-1 point; validated below</t>
  </si>
  <si>
    <t xml:space="preserve">Model</t>
  </si>
  <si>
    <t xml:space="preserve">q(t) = q1 / sqrt(t)</t>
  </si>
  <si>
    <t xml:space="preserve">t in days</t>
  </si>
  <si>
    <t xml:space="preserve">Nguyen &amp; Raudkivi (1982) seepage-face solution</t>
  </si>
  <si>
    <t xml:space="preserve">Day t</t>
  </si>
  <si>
    <t xml:space="preserve">q digitised (m3/day/m)</t>
  </si>
  <si>
    <t xml:space="preserve">q fitted = q1/sqrt(t)</t>
  </si>
  <si>
    <t xml:space="preserve">Residual</t>
  </si>
  <si>
    <t xml:space="preserve">Cumulative inflow (m3/m)</t>
  </si>
  <si>
    <t xml:space="preserve">q fitted (m3/s per m, SI)</t>
  </si>
  <si>
    <t xml:space="preserve">VALIDATION</t>
  </si>
  <si>
    <t xml:space="preserve">Cumulative over 30 days</t>
  </si>
  <si>
    <t xml:space="preserve">m3 per m</t>
  </si>
  <si>
    <t xml:space="preserve">Paper states 5.37 m3 per m -&gt; match to 3 s.f.</t>
  </si>
  <si>
    <t xml:space="preserve">This validation is what tells you q1 = 0.56 and not the 0.056 printed in the text (sheet 14, finding #1). Physically the curve is the classic 1/sqrt(t) decay of a transient seepage face, not the exponential decay the text describes - another wording slip worth noting if you cite this figure.</t>
  </si>
  <si>
    <t xml:space="preserve">PINN usage: column F is the Neumann flux boundary condition on the excavation face in SI units, per metre of excavation length. Divide by the seepage-face height to get a Darcy flux in m/s if your BC is specified that way.</t>
  </si>
  <si>
    <t xml:space="preserve">Fig. 10a - Spatio-temporal piezometric level h(x,t) near the excavation face</t>
  </si>
  <si>
    <t xml:space="preserve">Reconstructed from the paper's own equation: s = s_w * erfc( x / (2*sqrt(w*t)) ), w = T/S, so h(x,t) = h0 - s_w*erfc(x/(2*sqrt(w*t))). h0 and s_w are read directly off the figure; w is fitted to the plotted curve envelope. Grade A-fit.</t>
  </si>
  <si>
    <t xml:space="preserve">Parameters (yellow = fitted or read from figure)</t>
  </si>
  <si>
    <t xml:space="preserve">h0</t>
  </si>
  <si>
    <t xml:space="preserve">m</t>
  </si>
  <si>
    <t xml:space="preserve">Undisturbed piezometric level far from the face (curve asymptote)</t>
  </si>
  <si>
    <t xml:space="preserve">s_w</t>
  </si>
  <si>
    <t xml:space="preserve">Drawdown imposed at the excavated face (h = 10 m at x = 0)</t>
  </si>
  <si>
    <t xml:space="preserve">w = T/S</t>
  </si>
  <si>
    <t xml:space="preserve">m2/day</t>
  </si>
  <si>
    <t xml:space="preserve">Fitted: reproduces the ~155 m day-1 and ~500 m day-10 drawdown fronts</t>
  </si>
  <si>
    <t xml:space="preserve">w (SI)</t>
  </si>
  <si>
    <t xml:space="preserve">m2/s</t>
  </si>
  <si>
    <t xml:space="preserve">approx. 0.0214 m2/s</t>
  </si>
  <si>
    <t xml:space="preserve">h(x,t) in metres above datum. Columns = elapsed time in days.</t>
  </si>
  <si>
    <t xml:space="preserve">x (m)</t>
  </si>
  <si>
    <t xml:space="preserve">t = 1 d</t>
  </si>
  <si>
    <t xml:space="preserve">t = 2 d</t>
  </si>
  <si>
    <t xml:space="preserve">t = 3 d</t>
  </si>
  <si>
    <t xml:space="preserve">t = 4 d</t>
  </si>
  <si>
    <t xml:space="preserve">t = 5 d</t>
  </si>
  <si>
    <t xml:space="preserve">t = 6 d</t>
  </si>
  <si>
    <t xml:space="preserve">t = 7 d</t>
  </si>
  <si>
    <t xml:space="preserve">t = 8 d</t>
  </si>
  <si>
    <t xml:space="preserve">t = 9 d</t>
  </si>
  <si>
    <t xml:space="preserve">t = 10 d</t>
  </si>
  <si>
    <t xml:space="preserve">s at x (m), t=1</t>
  </si>
  <si>
    <t xml:space="preserve">s at x (m), t=10</t>
  </si>
  <si>
    <t xml:space="preserve">t (days) -&gt;</t>
  </si>
  <si>
    <t xml:space="preserve">Consistency check worth doing before you use this as a boundary condition: the fitted w = T/S = 1850 m2/day. With the paper's storativity S = 3e-5 that implies T = 0.056 m2/day, i.e. K*b = 0.056 - roughly two orders of magnitude below the coal-seam K of 0.1-0.5 m/day quoted from the packer tests for any plausible seam thickness. Either the plotted curves use a much larger S than 3e-5, or a much smaller K than the packer range. Decide which you trust before you fix K_s and S in the Richards equation, and say so explicitly in your methodology - it is a defensible modelling choice either way, but not one to make silently.</t>
  </si>
  <si>
    <t xml:space="preserve">Reading the table: at t = 1 day the drawdown has propagated about 155 m from the face; by day 10, about 500 m. The paper's own summary - 'significant drawdown within about 100 m of the face in 24 h' - is reproduced by the t = 1 column, where h has fallen from 30 to about 27 m at x = 100 m.</t>
  </si>
  <si>
    <t xml:space="preserve">Fig. 11 - Shear stress vs shear displacement, bedding planes in the Sekkoy Fm.</t>
  </si>
  <si>
    <t xml:space="preserve">Grade C: continuous curves read at low raster resolution, +/- 5 kPa. Normal-stress mapping corrected - see sheet 14, finding #3. Long format so it drops straight into pandas.</t>
  </si>
  <si>
    <t xml:space="preserve">sigma_n (kPa)  [corrected]</t>
  </si>
  <si>
    <t xml:space="preserve">sigma_n (kPa)  [label order, not used]</t>
  </si>
  <si>
    <t xml:space="preserve">Shear displacement (mm)</t>
  </si>
  <si>
    <t xml:space="preserve">Shear stress (kPa)</t>
  </si>
  <si>
    <t xml:space="preserve">Strength envelope derived from the digitised curves</t>
  </si>
  <si>
    <t xml:space="preserve">sigma_n (kPa)</t>
  </si>
  <si>
    <t xml:space="preserve">Peak tau (kPa)</t>
  </si>
  <si>
    <t xml:space="preserve">Residual tau (kPa)</t>
  </si>
  <si>
    <t xml:space="preserve">Peak tau/sigma_n</t>
  </si>
  <si>
    <t xml:space="preserve">Residual tau/sigma_n</t>
  </si>
  <si>
    <t xml:space="preserve">Peak phi (deg)</t>
  </si>
  <si>
    <t xml:space="preserve">Residual phi (deg)</t>
  </si>
  <si>
    <t xml:space="preserve">Linear fit, peak</t>
  </si>
  <si>
    <t xml:space="preserve">slope</t>
  </si>
  <si>
    <t xml:space="preserve">phi (deg)</t>
  </si>
  <si>
    <t xml:space="preserve">c (kPa)</t>
  </si>
  <si>
    <t xml:space="preserve">Linear fit, residual</t>
  </si>
  <si>
    <t xml:space="preserve">Fit through origin, peak (c forced to 0)</t>
  </si>
  <si>
    <t xml:space="preserve">Table 3a peak</t>
  </si>
  <si>
    <t xml:space="preserve">27.9 deg</t>
  </si>
  <si>
    <t xml:space="preserve">Fit through origin, residual (c forced to 0)</t>
  </si>
  <si>
    <t xml:space="preserve">Table 3a residual</t>
  </si>
  <si>
    <t xml:space="preserve">14.4 deg</t>
  </si>
  <si>
    <t xml:space="preserve">Fit through origin, residual, excluding sigma_n = 68 kPa</t>
  </si>
  <si>
    <t xml:space="preserve">Outlier removed</t>
  </si>
  <si>
    <t xml:space="preserve">Reading the fits honestly. The unconstrained four-point regression returns phi_peak = 30.1 deg with c = -6.1 kPa and phi_res = 12.2 deg with c = +10.2 kPa. A negative cohesion is physically meaningless, and it is the signature of curve-reading error rather than of the data: at four points, a few kPa of error in one peak swings the intercept hard. Since Table 3a reports c = 0 for this test set, the constrained fits are the meaningful ones - phi_peak = 28.8 deg and phi_res = 15.1 deg (14.8 deg with the off-trend sigma_n = 68 kPa residual excluded). Those bracket Table 3a row 1 (bedding without infill, water-filled shear box: peak 0 / 27.9 deg, residual 0 / 14.4 deg) to within a degree, which is what identifies the test set this figure plots and confirms the corrected normal-stress mapping. Treat the constrained numbers as the result and the unconstrained ones as the error bar.</t>
  </si>
  <si>
    <t xml:space="preserve">For your MC-SSR runs the design pair remains c = 4.4 kPa, phi = 15.4 deg (lubricated bedding, residual, validated by back-analysis). This figure supports that choice by showing how sharply strength falls from peak to residual within 2 mm of displacement - the physical justification for designing on residual values.</t>
  </si>
  <si>
    <t xml:space="preserve">Fig. 14a - Back-analysed c-phi envelopes at F = 1, instability INS-1 (slickensided bedding)</t>
  </si>
  <si>
    <t xml:space="preserve">Each line is the locus of c-phi pairs giving limit equilibrium for one back-analysed cross-section. Markers read at 1 kPa intervals; Grade B, +/- 0.3 deg.</t>
  </si>
  <si>
    <t xml:space="preserve">Fitted envelope parameters (from the plotted markers)</t>
  </si>
  <si>
    <t xml:space="preserve">Series</t>
  </si>
  <si>
    <t xml:space="preserve">phi at c = 0 (deg)</t>
  </si>
  <si>
    <t xml:space="preserve">Slope d(phi)/dc (deg per kPa)</t>
  </si>
  <si>
    <t xml:space="preserve">c-intercept (kPa)</t>
  </si>
  <si>
    <t xml:space="preserve">Section 1</t>
  </si>
  <si>
    <t xml:space="preserve">Section 2</t>
  </si>
  <si>
    <t xml:space="preserve">Intersection of the two envelopes</t>
  </si>
  <si>
    <t xml:space="preserve">c at intersection (kPa)</t>
  </si>
  <si>
    <t xml:space="preserve">phi at intersection (deg)</t>
  </si>
  <si>
    <t xml:space="preserve">Digitised marker positions</t>
  </si>
  <si>
    <t xml:space="preserve">phi (deg) - Section 1</t>
  </si>
  <si>
    <t xml:space="preserve">phi (deg) - Section 2</t>
  </si>
  <si>
    <t xml:space="preserve">phi fitted - Section 1</t>
  </si>
  <si>
    <t xml:space="preserve">phi fitted - Section 2</t>
  </si>
  <si>
    <t xml:space="preserve">These two envelopes do not intersect in the positive quadrant (the computed intersection is at negative c), which is exactly what the paper reports. They come closest near c = 1 kPa, where the digitised values are 14.3 and 15.8 deg - mean 15.05 deg. The paper concludes c = 1 kPa, phi = 15 deg. That the digitisation reproduces the published conclusion to 0.05 deg is a good check on the marker readings.</t>
  </si>
  <si>
    <t xml:space="preserve">PINN validation target: an SSR run on the INS-1 profile with c = 1 kPa, phi = 15 deg should return F = 1.00. This is the cheapest single-section benchmark available to you, and worth running before the full pit sections.</t>
  </si>
  <si>
    <t xml:space="preserve">Fig. 14b - Back-analysed c-phi envelopes at F = 1, instabilities INS-2 and INS-3 (smooth bedding)</t>
  </si>
  <si>
    <t xml:space="preserve">Markers read at 1 kPa intervals; Grade B, +/- 0.3 deg. The lab peak and residual strength boxes are overlaid on the original figure and reproduced below.</t>
  </si>
  <si>
    <t xml:space="preserve">Instability 2</t>
  </si>
  <si>
    <t xml:space="preserve">Instability 3</t>
  </si>
  <si>
    <t xml:space="preserve">phi (deg) - Instability 2</t>
  </si>
  <si>
    <t xml:space="preserve">phi (deg) - Instability 3</t>
  </si>
  <si>
    <t xml:space="preserve">phi fitted - Instability 2</t>
  </si>
  <si>
    <t xml:space="preserve">phi fitted - Instability 3</t>
  </si>
  <si>
    <t xml:space="preserve">Laboratory strength boxes overlaid on the figure (approximate extents)</t>
  </si>
  <si>
    <t xml:space="preserve">Box</t>
  </si>
  <si>
    <t xml:space="preserve">c from (kPa)</t>
  </si>
  <si>
    <t xml:space="preserve">c to (kPa)</t>
  </si>
  <si>
    <t xml:space="preserve">phi from (deg)</t>
  </si>
  <si>
    <t xml:space="preserve">phi to (deg)</t>
  </si>
  <si>
    <t xml:space="preserve">PEAK</t>
  </si>
  <si>
    <t xml:space="preserve">RESIDUAL</t>
  </si>
  <si>
    <t xml:space="preserve">The two envelopes intersect at about c = 7.1 kPa, phi = 16.6 deg, which falls on the upper-right corner of the residual box rather than the peak box - the paper's stated conclusion that INS-2 and INS-3 mobilised residual rather than peak strength along smooth bedding. This is the evidential basis for adopting c = 4.4 kPa, phi = 15.4 deg as the design pair you reduce during SSR.</t>
  </si>
  <si>
    <t xml:space="preserve">Fig. 17a - Factor of safety vs slope angle, slope debris (circular failure)</t>
  </si>
  <si>
    <t xml:space="preserve">GRADE C - only the H = 2 m and H = 4 m curves are separable at this raster resolution; the remaining eight overlap within a band a few pixels wide. Values below are indicative. Re-digitise from the vector PDF if you need these quantitatively.</t>
  </si>
  <si>
    <t xml:space="preserve">Slope angle (deg)</t>
  </si>
  <si>
    <t xml:space="preserve">F, H = 2 m</t>
  </si>
  <si>
    <t xml:space="preserve">F, H = 4 m</t>
  </si>
  <si>
    <t xml:space="preserve">F, H = 6 m</t>
  </si>
  <si>
    <t xml:space="preserve">F, lower bundle H = 8-20 m (band)</t>
  </si>
  <si>
    <t xml:space="preserve">1.05 - 1.30</t>
  </si>
  <si>
    <t xml:space="preserve">0.92 - 1.15</t>
  </si>
  <si>
    <t xml:space="preserve">0.83 - 1.02</t>
  </si>
  <si>
    <t xml:space="preserve">0.76 - 0.92</t>
  </si>
  <si>
    <t xml:space="preserve">0.70 - 0.85</t>
  </si>
  <si>
    <t xml:space="preserve">Design conclusions stated in the text (Grade A - use these, not the curve reads)</t>
  </si>
  <si>
    <t xml:space="preserve">Criterion</t>
  </si>
  <si>
    <t xml:space="preserve">Governing geometry</t>
  </si>
  <si>
    <t xml:space="preserve">Source</t>
  </si>
  <si>
    <t xml:space="preserve">F = 1.1 (individual bench)</t>
  </si>
  <si>
    <t xml:space="preserve">Bench face angle not to exceed 50 deg, maximum bench height 5 m</t>
  </si>
  <si>
    <t xml:space="preserve">Section 8.2.1</t>
  </si>
  <si>
    <t xml:space="preserve">F = 1.3 (overall slope)</t>
  </si>
  <si>
    <t xml:space="preserve">Overall slope angle in the slope debris 25-26 deg</t>
  </si>
  <si>
    <t xml:space="preserve">Maximum slope-debris thickness is about 10 m, which is why the chart is drawn for H = 2-20 m. For your model the debris matters only on the northern wall, and only as a thin surficial unit - the two design conclusions above are far more useful than the curves themselves.</t>
  </si>
  <si>
    <t xml:space="preserve">Fig. 17b - Factor of safety vs slope angle, Sekkoy Fm. overburden (circular failure)</t>
  </si>
  <si>
    <t xml:space="preserve">GRADE C - fifteen curves (H = 7 to 140 m) share a narrow band below F = 2.5. The top two are cleanly separable; the rest are given as the enveloping band. Re-digitise if quantitative use is intended.</t>
  </si>
  <si>
    <t xml:space="preserve">F, H = 7 m</t>
  </si>
  <si>
    <t xml:space="preserve">F, H = 10 m</t>
  </si>
  <si>
    <t xml:space="preserve">F, H = 20 m</t>
  </si>
  <si>
    <t xml:space="preserve">F, H = 30 m</t>
  </si>
  <si>
    <t xml:space="preserve">F, deepest curve H = 140 m</t>
  </si>
  <si>
    <t xml:space="preserve">Band, H = 40-130 m</t>
  </si>
  <si>
    <t xml:space="preserve">1.40 - 2.55</t>
  </si>
  <si>
    <t xml:space="preserve">1.25 - 2.25</t>
  </si>
  <si>
    <t xml:space="preserve">1.13 - 2.02</t>
  </si>
  <si>
    <t xml:space="preserve">1.03 - 1.83</t>
  </si>
  <si>
    <t xml:space="preserve">0.95 - 1.68</t>
  </si>
  <si>
    <t xml:space="preserve">0.88 - 1.56</t>
  </si>
  <si>
    <t xml:space="preserve">0.82 - 1.46</t>
  </si>
  <si>
    <t xml:space="preserve">0.77 - 1.37</t>
  </si>
  <si>
    <t xml:space="preserve">0.73 - 1.31</t>
  </si>
  <si>
    <t xml:space="preserve">0.70 - 1.26</t>
  </si>
  <si>
    <t xml:space="preserve">Reference lines drawn on the original at F = 1.1 and F = 1.3. The paper's conclusion from this chart is that no circular (rock-mass) failure is expected through the Sekkoy overburden at the initial 30-degree overall angle with the current bench geometry - which is why every critical section in Fig. 19 fails by a compound, planar or multi-planar mechanism instead. That matters for your PINN-SSR: if your extracted failure surface through the Sekkoy Fm. comes out circular, suspect the model before you claim a new mechanism.</t>
  </si>
  <si>
    <t xml:space="preserve">Fig. 18b - Slope angle vs factor of safety, planar failure, H = 7 m</t>
  </si>
  <si>
    <t xml:space="preserve">Bedding dip beta = 15, 20, 25 and 30 deg. Markers read against the F axis; Grade B, +/- 0.05 in F. Note the original plots slope angle on the vertical axis and F on the horizontal - transposed here so the independent variable is in column A.</t>
  </si>
  <si>
    <t xml:space="preserve">Slope angle alpha (deg)</t>
  </si>
  <si>
    <t xml:space="preserve">F, beta = 15 deg</t>
  </si>
  <si>
    <t xml:space="preserve">F, beta = 20 deg</t>
  </si>
  <si>
    <t xml:space="preserve">F, beta = 25 deg</t>
  </si>
  <si>
    <t xml:space="preserve">F, beta = 30 deg</t>
  </si>
  <si>
    <t xml:space="preserve">Slope angle at which F falls below the design thresholds</t>
  </si>
  <si>
    <t xml:space="preserve">Bedding dip beta (deg)</t>
  </si>
  <si>
    <t xml:space="preserve">alpha at F = 1.3 (overall design)</t>
  </si>
  <si>
    <t xml:space="preserve">alpha at F = 1.1 (bench design)</t>
  </si>
  <si>
    <t xml:space="preserve">F at alpha = 30 deg (initial project)</t>
  </si>
  <si>
    <t xml:space="preserve">beyond 70 (F stays above 1.3)</t>
  </si>
  <si>
    <t xml:space="preserve">beyond 70</t>
  </si>
  <si>
    <t xml:space="preserve">about 33</t>
  </si>
  <si>
    <t xml:space="preserve">about 28</t>
  </si>
  <si>
    <t xml:space="preserve">about 36</t>
  </si>
  <si>
    <t xml:space="preserve">about 25</t>
  </si>
  <si>
    <t xml:space="preserve">about 32</t>
  </si>
  <si>
    <t xml:space="preserve">The curves flatten into near-vertical lines above roughly 40 deg: once the slope face is steeper than the bedding by a sufficient margin the whole bedding-bounded wedge daylights, and further steepening adds no driving mass to the block. That plateau value is the one to remember - it is the floor on F for a given bedding dip, independent of face angle.</t>
  </si>
  <si>
    <t xml:space="preserve">Fig. 18c - Slope angle vs factor of safety, planar failure, H = 10 m</t>
  </si>
  <si>
    <t xml:space="preserve">about 35</t>
  </si>
  <si>
    <t xml:space="preserve">about 26</t>
  </si>
  <si>
    <t xml:space="preserve">about 40</t>
  </si>
  <si>
    <t xml:space="preserve">about 22</t>
  </si>
  <si>
    <t xml:space="preserve">below 20</t>
  </si>
  <si>
    <t xml:space="preserve">about 24</t>
  </si>
  <si>
    <t xml:space="preserve">Comparing with the H = 7 m sheet gives the height sensitivity directly: raising bench height from 7 to 10 m costs roughly 0.15-0.20 in F at every bedding dip. With beta = 25 deg and a 10 m bench, F is already below 1.1 at any face angle steeper than about 28 deg - the quantitative basis for the paper's bench-height limits.</t>
  </si>
  <si>
    <t xml:space="preserve">Fig. 19a-e - Every printed factor of safety, remedial-measure analyses</t>
  </si>
  <si>
    <t xml:space="preserve">GRADE A: these are values printed on the figures, cross-checked against the numbers quoted in Section 8.2.2 of the text. This is the primary benchmark table for your PINN-SSR results.</t>
  </si>
  <si>
    <t xml:space="preserve">Panel</t>
  </si>
  <si>
    <t xml:space="preserve">Cross-section</t>
  </si>
  <si>
    <t xml:space="preserve">Remedial measure</t>
  </si>
  <si>
    <t xml:space="preserve">Stage / angle</t>
  </si>
  <si>
    <t xml:space="preserve">Elevation (m asl)</t>
  </si>
  <si>
    <t xml:space="preserve">F (printed on figure)</t>
  </si>
  <si>
    <t xml:space="preserve">F quoted in text</t>
  </si>
  <si>
    <t xml:space="preserve">Note</t>
  </si>
  <si>
    <t xml:space="preserve">(a)</t>
  </si>
  <si>
    <t xml:space="preserve">Section 1 N</t>
  </si>
  <si>
    <t xml:space="preserve">Initial project</t>
  </si>
  <si>
    <t xml:space="preserve">30 deg overall</t>
  </si>
  <si>
    <t xml:space="preserve">Compound surface through slope debris, weak zone and marl, following bedding</t>
  </si>
  <si>
    <t xml:space="preserve">Stripping</t>
  </si>
  <si>
    <t xml:space="preserve">Stage 1</t>
  </si>
  <si>
    <t xml:space="preserve">Stage 2</t>
  </si>
  <si>
    <t xml:space="preserve">Stage 3</t>
  </si>
  <si>
    <t xml:space="preserve">Stage 4</t>
  </si>
  <si>
    <t xml:space="preserve">Stage 5</t>
  </si>
  <si>
    <t xml:space="preserve">Adopted design; 30 deg retained below +310 m</t>
  </si>
  <si>
    <t xml:space="preserve">(b)</t>
  </si>
  <si>
    <t xml:space="preserve">Section 2 N</t>
  </si>
  <si>
    <t xml:space="preserve">Most critical section in the pit - compound surface along the underclay</t>
  </si>
  <si>
    <t xml:space="preserve">Adopted design; 30 deg retained below +302 m</t>
  </si>
  <si>
    <t xml:space="preserve">(c)</t>
  </si>
  <si>
    <t xml:space="preserve">Section 4 N</t>
  </si>
  <si>
    <t xml:space="preserve">Compound surface through overburden along Sekkoy bedding</t>
  </si>
  <si>
    <t xml:space="preserve">Stripping (4 stages)</t>
  </si>
  <si>
    <t xml:space="preserve">Insufficient - flattening adopted instead</t>
  </si>
  <si>
    <t xml:space="preserve">Flattening</t>
  </si>
  <si>
    <t xml:space="preserve">25 deg</t>
  </si>
  <si>
    <t xml:space="preserve">22 deg</t>
  </si>
  <si>
    <t xml:space="preserve">Adopted design</t>
  </si>
  <si>
    <t xml:space="preserve">(d)</t>
  </si>
  <si>
    <t xml:space="preserve">Section 5 N</t>
  </si>
  <si>
    <t xml:space="preserve">Non-circular failure</t>
  </si>
  <si>
    <t xml:space="preserve">Insufficient</t>
  </si>
  <si>
    <t xml:space="preserve">20 deg</t>
  </si>
  <si>
    <t xml:space="preserve">Design recommendation</t>
  </si>
  <si>
    <t xml:space="preserve">23 deg</t>
  </si>
  <si>
    <t xml:space="preserve">Interpolated in the text</t>
  </si>
  <si>
    <t xml:space="preserve">(e)</t>
  </si>
  <si>
    <t xml:space="preserve">Section 7 N</t>
  </si>
  <si>
    <t xml:space="preserve">Initial project (coal removed)</t>
  </si>
  <si>
    <t xml:space="preserve">Compound surface through overburden and coal, along the underclay; confined coal aquifer degrades stability</t>
  </si>
  <si>
    <t xml:space="preserve">Shifting southward</t>
  </si>
  <si>
    <t xml:space="preserve">Rejected - below unity</t>
  </si>
  <si>
    <t xml:space="preserve">Text claims this achieves 1.3 - see sheet 14</t>
  </si>
  <si>
    <t xml:space="preserve">18 deg</t>
  </si>
  <si>
    <t xml:space="preserve">Only case actually exceeding 1.3</t>
  </si>
  <si>
    <t xml:space="preserve">Southern pit wall - multi-planar failure (Fig. 20 companion values quoted in the text)</t>
  </si>
  <si>
    <t xml:space="preserve">Condition</t>
  </si>
  <si>
    <t xml:space="preserve">F</t>
  </si>
  <si>
    <t xml:space="preserve">Section 1 S</t>
  </si>
  <si>
    <t xml:space="preserve">Initial project, 30 deg</t>
  </si>
  <si>
    <t xml:space="preserve">Fault 17 controlled; most critical southern section</t>
  </si>
  <si>
    <t xml:space="preserve">Section 2 S</t>
  </si>
  <si>
    <t xml:space="preserve">Section 3 S</t>
  </si>
  <si>
    <t xml:space="preserve">Section 6 S</t>
  </si>
  <si>
    <t xml:space="preserve">Flattened to 20 deg (slope 4, Fig. 20)</t>
  </si>
  <si>
    <t xml:space="preserve">Costs overburden removal and sterilises coal</t>
  </si>
  <si>
    <t xml:space="preserve">How to use this sheet. Your thesis proposal (Table 4) already commits to reproducing six LEM values within 5-10%. Five of those six appear above as 'F quoted in text' - and note that the figure-printed values are more precise than the two-decimal text values, so benchmark against column F where both exist. The one section in your Table 4 not covered here is Section 7 with coal excavation (1.19), which is the initial-project row of panel (e).</t>
  </si>
  <si>
    <t xml:space="preserve">Fig. 19a-e - Section geometry: axis extents, stratigraphic order and indicative ground profiles</t>
  </si>
  <si>
    <t xml:space="preserve">GRADE C for coordinates. The panels are small rasters with vertical exaggeration, so surface elevations carry roughly +/- 10 m and horizontal positions +/- 10 m. Adequate to scaffold a domain; NOT adequate to define the mesh-free collocation domain for a publishable result.</t>
  </si>
  <si>
    <t xml:space="preserve">Panel extents as plotted</t>
  </si>
  <si>
    <t xml:space="preserve">Horizontal range from toe (m)</t>
  </si>
  <si>
    <t xml:space="preserve">Elevation range (m asl)</t>
  </si>
  <si>
    <t xml:space="preserve">Fault F1 at x (m)</t>
  </si>
  <si>
    <t xml:space="preserve">Units present (top to bottom)</t>
  </si>
  <si>
    <t xml:space="preserve">0 to ~340</t>
  </si>
  <si>
    <t xml:space="preserve">~260 to ~390</t>
  </si>
  <si>
    <t xml:space="preserve">~320</t>
  </si>
  <si>
    <t xml:space="preserve">Ym, Mk_d, Tm, Mk, Ksk</t>
  </si>
  <si>
    <t xml:space="preserve">0 to ~300</t>
  </si>
  <si>
    <t xml:space="preserve">~275 to ~450</t>
  </si>
  <si>
    <t xml:space="preserve">~215</t>
  </si>
  <si>
    <t xml:space="preserve">Ym, Mk_d, Tm, Mk</t>
  </si>
  <si>
    <t xml:space="preserve">0 to ~230</t>
  </si>
  <si>
    <t xml:space="preserve">~275 to ~375</t>
  </si>
  <si>
    <t xml:space="preserve">~225</t>
  </si>
  <si>
    <t xml:space="preserve">0 to ~250</t>
  </si>
  <si>
    <t xml:space="preserve">~270 to ~380</t>
  </si>
  <si>
    <t xml:space="preserve">~240</t>
  </si>
  <si>
    <t xml:space="preserve">Mk_d, Tm, Mk</t>
  </si>
  <si>
    <t xml:space="preserve">0 to ~180</t>
  </si>
  <si>
    <t xml:space="preserve">~190 to ~280</t>
  </si>
  <si>
    <t xml:space="preserve">not shown</t>
  </si>
  <si>
    <t xml:space="preserve">Ym, Gkct, Mk, Ly, Ksk</t>
  </si>
  <si>
    <t xml:space="preserve">Unit label key - TENTATIVE, verify against the Fig. 5 legend in the original</t>
  </si>
  <si>
    <t xml:space="preserve">Label on figure</t>
  </si>
  <si>
    <t xml:space="preserve">Most likely unit</t>
  </si>
  <si>
    <t xml:space="preserve">Confidence</t>
  </si>
  <si>
    <t xml:space="preserve">Basis</t>
  </si>
  <si>
    <t xml:space="preserve">Ksk</t>
  </si>
  <si>
    <t xml:space="preserve">Karstic carbonate basement (Mesozoic)</t>
  </si>
  <si>
    <t xml:space="preserve">Reasonable</t>
  </si>
  <si>
    <t xml:space="preserve">Occupies the base of the section; 'k' for kirectasi</t>
  </si>
  <si>
    <t xml:space="preserve">Gkct</t>
  </si>
  <si>
    <t xml:space="preserve">Lacustrine limestone (golsel kirectasi)</t>
  </si>
  <si>
    <t xml:space="preserve">Matches the GK borehole prefix used for that aquifer</t>
  </si>
  <si>
    <t xml:space="preserve">Ym</t>
  </si>
  <si>
    <t xml:space="preserve">Yatagan Fm. (tuffite / marl)</t>
  </si>
  <si>
    <t xml:space="preserve">Uppermost unit, consistent with the stratigraphy</t>
  </si>
  <si>
    <t xml:space="preserve">Tm</t>
  </si>
  <si>
    <t xml:space="preserve">Sekkoy Fm. medium- to thick-bedded marl</t>
  </si>
  <si>
    <t xml:space="preserve">Uncertain</t>
  </si>
  <si>
    <t xml:space="preserve">Forms the bulk of the overburden mass in panels b-d</t>
  </si>
  <si>
    <t xml:space="preserve">Mk</t>
  </si>
  <si>
    <t xml:space="preserve">Coal seam (komur) with Mk_d as its overlying deformed/marl-limestone member</t>
  </si>
  <si>
    <t xml:space="preserve">Wedge geometry at the toe and position above the underclay fit the coal seam</t>
  </si>
  <si>
    <t xml:space="preserve">Ly</t>
  </si>
  <si>
    <t xml:space="preserve">Turgut Fm. / underclay</t>
  </si>
  <si>
    <t xml:space="preserve">Sits between the coal and the karstic basement in panel (e)</t>
  </si>
  <si>
    <t xml:space="preserve">Indicative ground-surface profiles (x measured from the toe)</t>
  </si>
  <si>
    <t xml:space="preserve">Ground elevation (m asl)</t>
  </si>
  <si>
    <t xml:space="preserve">What to do instead of trusting these coordinates. The section geometry is the single input where digitisation error propagates hardest into an SSR factor of safety - a 10 m error in slope height moves F by more than the 5-10% agreement band you committed to in your proposal. Two better routes: (1) obtain the vector PDF of the paper and trace Fig. 19 in WebPlotDigitizer at full zoom, which gets you to +/- 1-2 m; (2) if you can reach the authors or the mine, ask for the original section DXF. Use the table above only to size the domain and place boundary conditions while you develop the code.</t>
  </si>
</sst>
</file>

<file path=xl/styles.xml><?xml version="1.0" encoding="utf-8"?>
<styleSheet xmlns="http://schemas.openxmlformats.org/spreadsheetml/2006/main">
  <numFmts count="6">
    <numFmt numFmtId="164" formatCode="General"/>
    <numFmt numFmtId="165" formatCode="0.0"/>
    <numFmt numFmtId="166" formatCode="0.00"/>
    <numFmt numFmtId="167" formatCode="0.0000"/>
    <numFmt numFmtId="168" formatCode="0.000"/>
    <numFmt numFmtId="169" formatCode="0.00E+00"/>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name val="Arial"/>
      <family val="0"/>
      <charset val="1"/>
    </font>
    <font>
      <b val="true"/>
      <sz val="11"/>
      <name val="Arial"/>
      <family val="0"/>
      <charset val="1"/>
    </font>
    <font>
      <sz val="10"/>
      <name val="Arial"/>
      <family val="0"/>
      <charset val="1"/>
    </font>
    <font>
      <sz val="9"/>
      <name val="Arial"/>
      <family val="0"/>
      <charset val="1"/>
    </font>
    <font>
      <sz val="10"/>
      <color rgb="FF0000FF"/>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D9E2F3"/>
        <bgColor rgb="FFFCE4D6"/>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4" borderId="0" xfId="0" applyFont="true" applyBorder="true" applyAlignment="true" applyProtection="false">
      <alignment horizontal="general" vertical="top" textRotation="0" wrapText="true" indent="0" shrinkToFit="false"/>
      <protection locked="true" hidden="false"/>
    </xf>
    <xf numFmtId="164" fontId="8" fillId="5" borderId="0"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6"/>
    <col collapsed="false" customWidth="true" hidden="false" outlineLevel="0" max="4" min="4" style="0" width="8"/>
  </cols>
  <sheetData>
    <row r="1" customFormat="false" ht="21.75" hidden="false" customHeight="true" outlineLevel="0" collapsed="false">
      <c r="A1" s="1" t="s">
        <v>0</v>
      </c>
      <c r="B1" s="1"/>
      <c r="C1" s="1"/>
      <c r="D1" s="1"/>
      <c r="E1" s="1"/>
      <c r="F1" s="1"/>
    </row>
    <row r="2" customFormat="false" ht="42" hidden="false" customHeight="true" outlineLevel="0" collapsed="false">
      <c r="A2" s="2" t="s">
        <v>1</v>
      </c>
      <c r="B2" s="2"/>
      <c r="C2" s="2"/>
      <c r="D2" s="2"/>
      <c r="E2" s="2"/>
      <c r="F2" s="2"/>
    </row>
    <row r="4" customFormat="false" ht="15" hidden="false" customHeight="false" outlineLevel="0" collapsed="false">
      <c r="A4" s="3" t="s">
        <v>2</v>
      </c>
    </row>
    <row r="5" customFormat="false" ht="30" hidden="false" customHeight="true" outlineLevel="0" collapsed="false">
      <c r="A5" s="4" t="s">
        <v>3</v>
      </c>
      <c r="B5" s="4" t="s">
        <v>4</v>
      </c>
      <c r="C5" s="4" t="s">
        <v>5</v>
      </c>
      <c r="D5" s="4" t="s">
        <v>6</v>
      </c>
    </row>
    <row r="6" customFormat="false" ht="39.75" hidden="false" customHeight="true" outlineLevel="0" collapsed="false">
      <c r="A6" s="5" t="s">
        <v>7</v>
      </c>
      <c r="B6" s="6" t="s">
        <v>8</v>
      </c>
      <c r="C6" s="5" t="s">
        <v>9</v>
      </c>
      <c r="D6" s="6" t="s">
        <v>10</v>
      </c>
    </row>
    <row r="7" customFormat="false" ht="39.75" hidden="false" customHeight="true" outlineLevel="0" collapsed="false">
      <c r="A7" s="5" t="s">
        <v>11</v>
      </c>
      <c r="B7" s="6" t="s">
        <v>12</v>
      </c>
      <c r="C7" s="5" t="s">
        <v>13</v>
      </c>
      <c r="D7" s="6" t="s">
        <v>14</v>
      </c>
    </row>
    <row r="8" customFormat="false" ht="39.75" hidden="false" customHeight="true" outlineLevel="0" collapsed="false">
      <c r="A8" s="5" t="s">
        <v>15</v>
      </c>
      <c r="B8" s="6" t="s">
        <v>16</v>
      </c>
      <c r="C8" s="5" t="s">
        <v>17</v>
      </c>
      <c r="D8" s="6" t="s">
        <v>18</v>
      </c>
    </row>
    <row r="10" customFormat="false" ht="15" hidden="false" customHeight="false" outlineLevel="0" collapsed="false">
      <c r="A10" s="3" t="s">
        <v>19</v>
      </c>
    </row>
    <row r="11" customFormat="false" ht="30" hidden="false" customHeight="true" outlineLevel="0" collapsed="false">
      <c r="A11" s="4" t="s">
        <v>20</v>
      </c>
      <c r="B11" s="4" t="s">
        <v>21</v>
      </c>
      <c r="C11" s="4" t="s">
        <v>22</v>
      </c>
      <c r="D11" s="4" t="s">
        <v>3</v>
      </c>
    </row>
    <row r="12" customFormat="false" ht="15" hidden="false" customHeight="false" outlineLevel="0" collapsed="false">
      <c r="A12" s="5" t="s">
        <v>23</v>
      </c>
      <c r="B12" s="5" t="s">
        <v>24</v>
      </c>
      <c r="C12" s="6" t="s">
        <v>25</v>
      </c>
      <c r="D12" s="5" t="s">
        <v>11</v>
      </c>
    </row>
    <row r="13" customFormat="false" ht="15" hidden="false" customHeight="false" outlineLevel="0" collapsed="false">
      <c r="A13" s="5" t="s">
        <v>26</v>
      </c>
      <c r="B13" s="5" t="s">
        <v>27</v>
      </c>
      <c r="C13" s="6" t="s">
        <v>28</v>
      </c>
      <c r="D13" s="5" t="s">
        <v>11</v>
      </c>
    </row>
    <row r="14" customFormat="false" ht="15" hidden="false" customHeight="false" outlineLevel="0" collapsed="false">
      <c r="A14" s="5" t="s">
        <v>29</v>
      </c>
      <c r="B14" s="5" t="s">
        <v>30</v>
      </c>
      <c r="C14" s="6" t="s">
        <v>31</v>
      </c>
      <c r="D14" s="5" t="s">
        <v>32</v>
      </c>
    </row>
    <row r="15" customFormat="false" ht="15" hidden="false" customHeight="false" outlineLevel="0" collapsed="false">
      <c r="A15" s="5" t="s">
        <v>33</v>
      </c>
      <c r="B15" s="5" t="s">
        <v>34</v>
      </c>
      <c r="C15" s="6" t="s">
        <v>35</v>
      </c>
      <c r="D15" s="5" t="s">
        <v>32</v>
      </c>
    </row>
    <row r="16" customFormat="false" ht="15" hidden="false" customHeight="false" outlineLevel="0" collapsed="false">
      <c r="A16" s="5" t="s">
        <v>36</v>
      </c>
      <c r="B16" s="5" t="s">
        <v>37</v>
      </c>
      <c r="C16" s="6" t="s">
        <v>38</v>
      </c>
      <c r="D16" s="5" t="s">
        <v>15</v>
      </c>
    </row>
    <row r="17" customFormat="false" ht="15" hidden="false" customHeight="false" outlineLevel="0" collapsed="false">
      <c r="A17" s="5" t="s">
        <v>39</v>
      </c>
      <c r="B17" s="5" t="s">
        <v>40</v>
      </c>
      <c r="C17" s="6" t="s">
        <v>41</v>
      </c>
      <c r="D17" s="5" t="s">
        <v>11</v>
      </c>
    </row>
    <row r="18" customFormat="false" ht="15" hidden="false" customHeight="false" outlineLevel="0" collapsed="false">
      <c r="A18" s="5" t="s">
        <v>42</v>
      </c>
      <c r="B18" s="5" t="s">
        <v>43</v>
      </c>
      <c r="C18" s="6" t="s">
        <v>44</v>
      </c>
      <c r="D18" s="5" t="s">
        <v>11</v>
      </c>
    </row>
    <row r="19" customFormat="false" ht="15" hidden="false" customHeight="false" outlineLevel="0" collapsed="false">
      <c r="A19" s="5" t="s">
        <v>45</v>
      </c>
      <c r="B19" s="5" t="s">
        <v>46</v>
      </c>
      <c r="C19" s="6" t="s">
        <v>47</v>
      </c>
      <c r="D19" s="5" t="s">
        <v>15</v>
      </c>
    </row>
    <row r="20" customFormat="false" ht="15" hidden="false" customHeight="false" outlineLevel="0" collapsed="false">
      <c r="A20" s="5" t="s">
        <v>48</v>
      </c>
      <c r="B20" s="5" t="s">
        <v>49</v>
      </c>
      <c r="C20" s="6" t="s">
        <v>50</v>
      </c>
      <c r="D20" s="5" t="s">
        <v>15</v>
      </c>
    </row>
    <row r="21" customFormat="false" ht="15" hidden="false" customHeight="false" outlineLevel="0" collapsed="false">
      <c r="A21" s="5" t="s">
        <v>51</v>
      </c>
      <c r="B21" s="5" t="s">
        <v>52</v>
      </c>
      <c r="C21" s="6" t="s">
        <v>53</v>
      </c>
      <c r="D21" s="5" t="s">
        <v>11</v>
      </c>
    </row>
    <row r="22" customFormat="false" ht="15" hidden="false" customHeight="false" outlineLevel="0" collapsed="false">
      <c r="A22" s="5" t="s">
        <v>54</v>
      </c>
      <c r="B22" s="5" t="s">
        <v>55</v>
      </c>
      <c r="C22" s="6" t="s">
        <v>56</v>
      </c>
      <c r="D22" s="5" t="s">
        <v>11</v>
      </c>
    </row>
    <row r="23" customFormat="false" ht="15" hidden="false" customHeight="false" outlineLevel="0" collapsed="false">
      <c r="A23" s="5" t="s">
        <v>57</v>
      </c>
      <c r="B23" s="5" t="s">
        <v>58</v>
      </c>
      <c r="C23" s="6" t="s">
        <v>59</v>
      </c>
      <c r="D23" s="5" t="s">
        <v>7</v>
      </c>
    </row>
    <row r="24" customFormat="false" ht="15" hidden="false" customHeight="false" outlineLevel="0" collapsed="false">
      <c r="A24" s="5" t="s">
        <v>60</v>
      </c>
      <c r="B24" s="5" t="s">
        <v>58</v>
      </c>
      <c r="C24" s="6" t="s">
        <v>61</v>
      </c>
      <c r="D24" s="5" t="s">
        <v>15</v>
      </c>
    </row>
    <row r="25" customFormat="false" ht="15" hidden="false" customHeight="false" outlineLevel="0" collapsed="false">
      <c r="A25" s="5" t="s">
        <v>62</v>
      </c>
      <c r="B25" s="5" t="s">
        <v>63</v>
      </c>
      <c r="C25" s="6" t="s">
        <v>64</v>
      </c>
      <c r="D25" s="5" t="s">
        <v>63</v>
      </c>
    </row>
    <row r="27" customFormat="false" ht="64.5" hidden="false" customHeight="true" outlineLevel="0" collapsed="false">
      <c r="A27" s="7" t="s">
        <v>65</v>
      </c>
      <c r="B27" s="7"/>
      <c r="C27" s="7"/>
      <c r="D27" s="7"/>
      <c r="E27" s="7"/>
      <c r="F27" s="7"/>
    </row>
    <row r="29" customFormat="false" ht="39" hidden="false" customHeight="true" outlineLevel="0" collapsed="false">
      <c r="A29" s="8" t="s">
        <v>66</v>
      </c>
      <c r="B29" s="8"/>
      <c r="C29" s="8"/>
      <c r="D29" s="8"/>
      <c r="E29" s="8"/>
      <c r="F29" s="8"/>
    </row>
  </sheetData>
  <mergeCells count="4">
    <mergeCell ref="A1:F1"/>
    <mergeCell ref="A2:F2"/>
    <mergeCell ref="A27:F27"/>
    <mergeCell ref="A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40"/>
    <col collapsed="false" customWidth="true" hidden="false" outlineLevel="0" max="4" min="4" style="0" width="52"/>
    <col collapsed="false" customWidth="true" hidden="false" outlineLevel="0" max="5" min="5" style="0" width="40"/>
  </cols>
  <sheetData>
    <row r="1" customFormat="false" ht="21.75" hidden="false" customHeight="true" outlineLevel="0" collapsed="false">
      <c r="A1" s="1" t="s">
        <v>67</v>
      </c>
      <c r="B1" s="1"/>
      <c r="C1" s="1"/>
      <c r="D1" s="1"/>
      <c r="E1" s="1"/>
    </row>
    <row r="2" customFormat="false" ht="42" hidden="false" customHeight="true" outlineLevel="0" collapsed="false">
      <c r="A2" s="2" t="s">
        <v>68</v>
      </c>
      <c r="B2" s="2"/>
      <c r="C2" s="2"/>
      <c r="D2" s="2"/>
      <c r="E2" s="2"/>
    </row>
    <row r="4" customFormat="false" ht="30" hidden="false" customHeight="true" outlineLevel="0" collapsed="false">
      <c r="A4" s="4" t="s">
        <v>69</v>
      </c>
      <c r="B4" s="4" t="s">
        <v>70</v>
      </c>
      <c r="C4" s="4" t="s">
        <v>71</v>
      </c>
      <c r="D4" s="4" t="s">
        <v>72</v>
      </c>
      <c r="E4" s="4" t="s">
        <v>73</v>
      </c>
    </row>
    <row r="5" customFormat="false" ht="111.75" hidden="false" customHeight="true" outlineLevel="0" collapsed="false">
      <c r="A5" s="9" t="n">
        <v>1</v>
      </c>
      <c r="B5" s="5" t="s">
        <v>30</v>
      </c>
      <c r="C5" s="6" t="s">
        <v>74</v>
      </c>
      <c r="D5" s="6" t="s">
        <v>75</v>
      </c>
      <c r="E5" s="6" t="s">
        <v>76</v>
      </c>
    </row>
    <row r="6" customFormat="false" ht="111.75" hidden="false" customHeight="true" outlineLevel="0" collapsed="false">
      <c r="A6" s="9" t="n">
        <v>2</v>
      </c>
      <c r="B6" s="5" t="s">
        <v>27</v>
      </c>
      <c r="C6" s="6" t="s">
        <v>77</v>
      </c>
      <c r="D6" s="6" t="s">
        <v>78</v>
      </c>
      <c r="E6" s="6" t="s">
        <v>79</v>
      </c>
    </row>
    <row r="7" customFormat="false" ht="111.75" hidden="false" customHeight="true" outlineLevel="0" collapsed="false">
      <c r="A7" s="9" t="n">
        <v>3</v>
      </c>
      <c r="B7" s="5" t="s">
        <v>37</v>
      </c>
      <c r="C7" s="6" t="s">
        <v>80</v>
      </c>
      <c r="D7" s="6" t="s">
        <v>81</v>
      </c>
      <c r="E7" s="6" t="s">
        <v>82</v>
      </c>
    </row>
    <row r="9" customFormat="false" ht="39" hidden="false" customHeight="true" outlineLevel="0" collapsed="false">
      <c r="A9" s="7" t="s">
        <v>83</v>
      </c>
      <c r="B9" s="7"/>
      <c r="C9" s="7"/>
      <c r="D9" s="7"/>
      <c r="E9" s="7"/>
    </row>
  </sheetData>
  <mergeCells count="3">
    <mergeCell ref="A1:E1"/>
    <mergeCell ref="A2:E2"/>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4" min="3" style="0" width="15"/>
    <col collapsed="false" customWidth="true" hidden="false" outlineLevel="0" max="5" min="5" style="0" width="16"/>
    <col collapsed="false" customWidth="true" hidden="false" outlineLevel="0" max="6" min="6" style="0" width="11"/>
    <col collapsed="false" customWidth="true" hidden="false" outlineLevel="0" max="7" min="7" style="0" width="34"/>
  </cols>
  <sheetData>
    <row r="1" customFormat="false" ht="21.75" hidden="false" customHeight="true" outlineLevel="0" collapsed="false">
      <c r="A1" s="1" t="s">
        <v>84</v>
      </c>
      <c r="B1" s="1"/>
      <c r="C1" s="1"/>
      <c r="D1" s="1"/>
      <c r="E1" s="1"/>
      <c r="F1" s="1"/>
      <c r="G1" s="1"/>
    </row>
    <row r="2" customFormat="false" ht="42" hidden="false" customHeight="true" outlineLevel="0" collapsed="false">
      <c r="A2" s="2" t="s">
        <v>85</v>
      </c>
      <c r="B2" s="2"/>
      <c r="C2" s="2"/>
      <c r="D2" s="2"/>
      <c r="E2" s="2"/>
      <c r="F2" s="2"/>
      <c r="G2" s="2"/>
    </row>
    <row r="4" customFormat="false" ht="30" hidden="false" customHeight="true" outlineLevel="0" collapsed="false">
      <c r="A4" s="4" t="s">
        <v>86</v>
      </c>
      <c r="B4" s="4" t="s">
        <v>87</v>
      </c>
      <c r="C4" s="4" t="s">
        <v>88</v>
      </c>
      <c r="D4" s="4" t="s">
        <v>89</v>
      </c>
      <c r="E4" s="4" t="s">
        <v>90</v>
      </c>
      <c r="F4" s="4" t="s">
        <v>91</v>
      </c>
      <c r="G4" s="4" t="s">
        <v>92</v>
      </c>
    </row>
    <row r="5" customFormat="false" ht="15" hidden="false" customHeight="false" outlineLevel="0" collapsed="false">
      <c r="A5" s="5" t="s">
        <v>93</v>
      </c>
      <c r="B5" s="5" t="s">
        <v>94</v>
      </c>
      <c r="C5" s="10" t="n">
        <v>169</v>
      </c>
      <c r="D5" s="10" t="n">
        <v>173.5</v>
      </c>
      <c r="E5" s="10" t="n">
        <v>170</v>
      </c>
      <c r="F5" s="10" t="n">
        <f aca="false">D5-C5</f>
        <v>4.5</v>
      </c>
      <c r="G5" s="6"/>
    </row>
    <row r="6" customFormat="false" ht="15" hidden="false" customHeight="false" outlineLevel="0" collapsed="false">
      <c r="A6" s="5" t="s">
        <v>95</v>
      </c>
      <c r="B6" s="5" t="s">
        <v>94</v>
      </c>
      <c r="C6" s="10" t="n">
        <v>170</v>
      </c>
      <c r="D6" s="10" t="n">
        <v>172.5</v>
      </c>
      <c r="E6" s="10" t="n">
        <v>170.5</v>
      </c>
      <c r="F6" s="10" t="n">
        <f aca="false">D6-C6</f>
        <v>2.5</v>
      </c>
      <c r="G6" s="6"/>
    </row>
    <row r="7" customFormat="false" ht="15" hidden="false" customHeight="false" outlineLevel="0" collapsed="false">
      <c r="A7" s="5" t="s">
        <v>96</v>
      </c>
      <c r="B7" s="5" t="s">
        <v>94</v>
      </c>
      <c r="C7" s="10" t="n">
        <v>166.5</v>
      </c>
      <c r="D7" s="10" t="n">
        <v>171.5</v>
      </c>
      <c r="E7" s="10" t="n">
        <v>168</v>
      </c>
      <c r="F7" s="10" t="n">
        <f aca="false">D7-C7</f>
        <v>5</v>
      </c>
      <c r="G7" s="6"/>
    </row>
    <row r="8" customFormat="false" ht="15" hidden="false" customHeight="false" outlineLevel="0" collapsed="false">
      <c r="A8" s="5" t="s">
        <v>97</v>
      </c>
      <c r="B8" s="5" t="s">
        <v>94</v>
      </c>
      <c r="C8" s="10" t="n">
        <v>168.5</v>
      </c>
      <c r="D8" s="10" t="n">
        <v>171</v>
      </c>
      <c r="E8" s="10" t="n">
        <v>168.5</v>
      </c>
      <c r="F8" s="10" t="n">
        <f aca="false">D8-C8</f>
        <v>2.5</v>
      </c>
      <c r="G8" s="6"/>
    </row>
    <row r="9" customFormat="false" ht="15" hidden="false" customHeight="false" outlineLevel="0" collapsed="false">
      <c r="A9" s="5" t="s">
        <v>98</v>
      </c>
      <c r="B9" s="5" t="s">
        <v>94</v>
      </c>
      <c r="C9" s="10" t="n">
        <v>167.5</v>
      </c>
      <c r="D9" s="10" t="n">
        <v>170</v>
      </c>
      <c r="E9" s="10" t="n">
        <v>168</v>
      </c>
      <c r="F9" s="10" t="n">
        <f aca="false">D9-C9</f>
        <v>2.5</v>
      </c>
      <c r="G9" s="6"/>
    </row>
    <row r="10" customFormat="false" ht="23.85" hidden="false" customHeight="false" outlineLevel="0" collapsed="false">
      <c r="A10" s="5" t="s">
        <v>99</v>
      </c>
      <c r="B10" s="5" t="s">
        <v>94</v>
      </c>
      <c r="C10" s="10" t="n">
        <v>163</v>
      </c>
      <c r="D10" s="10" t="n">
        <v>164</v>
      </c>
      <c r="E10" s="10" t="n">
        <v>163.5</v>
      </c>
      <c r="F10" s="10" t="n">
        <f aca="false">D10-C10</f>
        <v>1</v>
      </c>
      <c r="G10" s="6" t="s">
        <v>100</v>
      </c>
    </row>
    <row r="11" customFormat="false" ht="15" hidden="false" customHeight="false" outlineLevel="0" collapsed="false">
      <c r="A11" s="5" t="s">
        <v>101</v>
      </c>
      <c r="B11" s="5" t="s">
        <v>102</v>
      </c>
      <c r="C11" s="10" t="n">
        <v>194</v>
      </c>
      <c r="D11" s="10" t="n">
        <v>197</v>
      </c>
      <c r="E11" s="10" t="n">
        <v>195.5</v>
      </c>
      <c r="F11" s="10" t="n">
        <f aca="false">D11-C11</f>
        <v>3</v>
      </c>
      <c r="G11" s="6"/>
    </row>
    <row r="12" customFormat="false" ht="15" hidden="false" customHeight="false" outlineLevel="0" collapsed="false">
      <c r="A12" s="5" t="s">
        <v>103</v>
      </c>
      <c r="B12" s="5" t="s">
        <v>102</v>
      </c>
      <c r="C12" s="10" t="n">
        <v>160.5</v>
      </c>
      <c r="D12" s="10" t="n">
        <v>209</v>
      </c>
      <c r="E12" s="10" t="n">
        <v>200.5</v>
      </c>
      <c r="F12" s="10" t="n">
        <f aca="false">D12-C12</f>
        <v>48.5</v>
      </c>
      <c r="G12" s="6" t="s">
        <v>104</v>
      </c>
    </row>
    <row r="13" customFormat="false" ht="23.85" hidden="false" customHeight="false" outlineLevel="0" collapsed="false">
      <c r="A13" s="5" t="s">
        <v>105</v>
      </c>
      <c r="B13" s="5" t="s">
        <v>102</v>
      </c>
      <c r="C13" s="10" t="n">
        <v>197</v>
      </c>
      <c r="D13" s="10" t="n">
        <v>199.5</v>
      </c>
      <c r="E13" s="10" t="n">
        <v>197</v>
      </c>
      <c r="F13" s="10" t="n">
        <f aca="false">D13-C13</f>
        <v>2.5</v>
      </c>
      <c r="G13" s="6" t="s">
        <v>106</v>
      </c>
    </row>
    <row r="14" customFormat="false" ht="23.85" hidden="false" customHeight="false" outlineLevel="0" collapsed="false">
      <c r="A14" s="5" t="s">
        <v>107</v>
      </c>
      <c r="B14" s="5" t="s">
        <v>102</v>
      </c>
      <c r="C14" s="10" t="n">
        <v>108.5</v>
      </c>
      <c r="D14" s="10" t="n">
        <v>116.5</v>
      </c>
      <c r="E14" s="10" t="n">
        <v>112</v>
      </c>
      <c r="F14" s="10" t="n">
        <f aca="false">D14-C14</f>
        <v>8</v>
      </c>
      <c r="G14" s="6" t="s">
        <v>108</v>
      </c>
    </row>
    <row r="15" customFormat="false" ht="15" hidden="false" customHeight="false" outlineLevel="0" collapsed="false">
      <c r="A15" s="5" t="s">
        <v>109</v>
      </c>
      <c r="B15" s="5" t="s">
        <v>110</v>
      </c>
      <c r="C15" s="10" t="n">
        <v>159.5</v>
      </c>
      <c r="D15" s="10" t="n">
        <v>174</v>
      </c>
      <c r="E15" s="10" t="n">
        <v>166</v>
      </c>
      <c r="F15" s="10" t="n">
        <f aca="false">D15-C15</f>
        <v>14.5</v>
      </c>
      <c r="G15" s="6"/>
    </row>
    <row r="16" customFormat="false" ht="15" hidden="false" customHeight="false" outlineLevel="0" collapsed="false">
      <c r="A16" s="5" t="s">
        <v>111</v>
      </c>
      <c r="B16" s="5" t="s">
        <v>110</v>
      </c>
      <c r="C16" s="10" t="n">
        <v>146.5</v>
      </c>
      <c r="D16" s="10" t="n">
        <v>166</v>
      </c>
      <c r="E16" s="10" t="n">
        <v>158.5</v>
      </c>
      <c r="F16" s="10" t="n">
        <f aca="false">D16-C16</f>
        <v>19.5</v>
      </c>
      <c r="G16" s="6"/>
    </row>
    <row r="17" customFormat="false" ht="15" hidden="false" customHeight="false" outlineLevel="0" collapsed="false">
      <c r="A17" s="5" t="s">
        <v>112</v>
      </c>
      <c r="B17" s="5" t="s">
        <v>110</v>
      </c>
      <c r="C17" s="10" t="n">
        <v>204.5</v>
      </c>
      <c r="D17" s="10" t="n">
        <v>224</v>
      </c>
      <c r="E17" s="10" t="n">
        <v>220</v>
      </c>
      <c r="F17" s="10" t="n">
        <f aca="false">D17-C17</f>
        <v>19.5</v>
      </c>
      <c r="G17" s="6"/>
    </row>
    <row r="18" customFormat="false" ht="15" hidden="false" customHeight="false" outlineLevel="0" collapsed="false">
      <c r="A18" s="5" t="s">
        <v>113</v>
      </c>
      <c r="B18" s="5" t="s">
        <v>110</v>
      </c>
      <c r="C18" s="10" t="n">
        <v>214</v>
      </c>
      <c r="D18" s="10" t="n">
        <v>216</v>
      </c>
      <c r="E18" s="10" t="n">
        <v>216.5</v>
      </c>
      <c r="F18" s="10" t="n">
        <f aca="false">D18-C18</f>
        <v>2</v>
      </c>
      <c r="G18" s="6"/>
    </row>
    <row r="19" customFormat="false" ht="15" hidden="false" customHeight="false" outlineLevel="0" collapsed="false">
      <c r="A19" s="5" t="s">
        <v>114</v>
      </c>
      <c r="B19" s="5" t="s">
        <v>110</v>
      </c>
      <c r="C19" s="10" t="n">
        <v>223</v>
      </c>
      <c r="D19" s="10" t="n">
        <v>230</v>
      </c>
      <c r="E19" s="10" t="n">
        <v>226.5</v>
      </c>
      <c r="F19" s="10" t="n">
        <f aca="false">D19-C19</f>
        <v>7</v>
      </c>
      <c r="G19" s="6" t="s">
        <v>115</v>
      </c>
    </row>
    <row r="20" customFormat="false" ht="15" hidden="false" customHeight="false" outlineLevel="0" collapsed="false">
      <c r="A20" s="5" t="s">
        <v>116</v>
      </c>
      <c r="B20" s="5" t="s">
        <v>110</v>
      </c>
      <c r="C20" s="10" t="n">
        <v>202</v>
      </c>
      <c r="D20" s="10" t="n">
        <v>213</v>
      </c>
      <c r="E20" s="10" t="n">
        <v>211</v>
      </c>
      <c r="F20" s="10" t="n">
        <f aca="false">D20-C20</f>
        <v>11</v>
      </c>
      <c r="G20" s="6"/>
    </row>
    <row r="21" customFormat="false" ht="15" hidden="false" customHeight="false" outlineLevel="0" collapsed="false">
      <c r="A21" s="5" t="s">
        <v>117</v>
      </c>
      <c r="B21" s="5" t="s">
        <v>110</v>
      </c>
      <c r="C21" s="10" t="n">
        <v>163</v>
      </c>
      <c r="D21" s="10" t="n">
        <v>167</v>
      </c>
      <c r="E21" s="10" t="n">
        <v>165</v>
      </c>
      <c r="F21" s="10" t="n">
        <f aca="false">D21-C21</f>
        <v>4</v>
      </c>
      <c r="G21" s="6" t="s">
        <v>118</v>
      </c>
    </row>
    <row r="22" customFormat="false" ht="15" hidden="false" customHeight="false" outlineLevel="0" collapsed="false">
      <c r="A22" s="5" t="s">
        <v>119</v>
      </c>
      <c r="B22" s="5" t="s">
        <v>110</v>
      </c>
      <c r="C22" s="10" t="n">
        <v>165</v>
      </c>
      <c r="D22" s="10" t="n">
        <v>172</v>
      </c>
      <c r="E22" s="10" t="n">
        <v>167</v>
      </c>
      <c r="F22" s="10" t="n">
        <f aca="false">D22-C22</f>
        <v>7</v>
      </c>
      <c r="G22" s="6" t="s">
        <v>118</v>
      </c>
    </row>
    <row r="23" customFormat="false" ht="15" hidden="false" customHeight="false" outlineLevel="0" collapsed="false">
      <c r="A23" s="5" t="s">
        <v>120</v>
      </c>
      <c r="B23" s="5" t="s">
        <v>110</v>
      </c>
      <c r="C23" s="10" t="n">
        <v>189</v>
      </c>
      <c r="D23" s="10" t="n">
        <v>227</v>
      </c>
      <c r="E23" s="10" t="n">
        <v>207</v>
      </c>
      <c r="F23" s="10" t="n">
        <f aca="false">D23-C23</f>
        <v>38</v>
      </c>
      <c r="G23" s="6" t="s">
        <v>121</v>
      </c>
    </row>
    <row r="24" customFormat="false" ht="15" hidden="false" customHeight="false" outlineLevel="0" collapsed="false">
      <c r="A24" s="5" t="s">
        <v>122</v>
      </c>
      <c r="B24" s="5" t="s">
        <v>123</v>
      </c>
      <c r="C24" s="10" t="n">
        <v>165</v>
      </c>
      <c r="D24" s="10" t="n">
        <v>181.5</v>
      </c>
      <c r="E24" s="10" t="n">
        <v>171</v>
      </c>
      <c r="F24" s="10" t="n">
        <f aca="false">D24-C24</f>
        <v>16.5</v>
      </c>
      <c r="G24" s="6"/>
    </row>
    <row r="25" customFormat="false" ht="15" hidden="false" customHeight="false" outlineLevel="0" collapsed="false">
      <c r="A25" s="5" t="s">
        <v>124</v>
      </c>
      <c r="B25" s="5" t="s">
        <v>123</v>
      </c>
      <c r="C25" s="10" t="n">
        <v>144</v>
      </c>
      <c r="D25" s="10" t="n">
        <v>167.5</v>
      </c>
      <c r="E25" s="10" t="n">
        <v>158</v>
      </c>
      <c r="F25" s="10" t="n">
        <f aca="false">D25-C25</f>
        <v>23.5</v>
      </c>
      <c r="G25" s="6"/>
    </row>
    <row r="26" customFormat="false" ht="15" hidden="false" customHeight="false" outlineLevel="0" collapsed="false">
      <c r="A26" s="5" t="s">
        <v>125</v>
      </c>
      <c r="B26" s="5" t="s">
        <v>123</v>
      </c>
      <c r="C26" s="10" t="n">
        <v>103</v>
      </c>
      <c r="D26" s="10" t="n">
        <v>116.5</v>
      </c>
      <c r="E26" s="10" t="n">
        <v>110</v>
      </c>
      <c r="F26" s="10" t="n">
        <f aca="false">D26-C26</f>
        <v>13.5</v>
      </c>
      <c r="G26" s="6"/>
    </row>
    <row r="27" customFormat="false" ht="15" hidden="false" customHeight="false" outlineLevel="0" collapsed="false">
      <c r="A27" s="5" t="s">
        <v>126</v>
      </c>
      <c r="B27" s="5" t="s">
        <v>123</v>
      </c>
      <c r="C27" s="10" t="n">
        <v>133.5</v>
      </c>
      <c r="D27" s="10" t="n">
        <v>165</v>
      </c>
      <c r="E27" s="10" t="n">
        <v>158</v>
      </c>
      <c r="F27" s="10" t="n">
        <f aca="false">D27-C27</f>
        <v>31.5</v>
      </c>
      <c r="G27" s="6"/>
    </row>
    <row r="29" customFormat="false" ht="15" hidden="false" customHeight="false" outlineLevel="0" collapsed="false">
      <c r="A29" s="11" t="s">
        <v>127</v>
      </c>
      <c r="B29" s="5"/>
      <c r="C29" s="5"/>
      <c r="D29" s="5"/>
      <c r="E29" s="10" t="n">
        <f aca="false">AVERAGE(E15:E23)</f>
        <v>193.055555555556</v>
      </c>
      <c r="F29" s="5"/>
      <c r="G29" s="5" t="s">
        <v>128</v>
      </c>
    </row>
    <row r="30" customFormat="false" ht="15" hidden="false" customHeight="false" outlineLevel="0" collapsed="false">
      <c r="A30" s="11" t="s">
        <v>129</v>
      </c>
      <c r="B30" s="5"/>
      <c r="C30" s="5"/>
      <c r="D30" s="5"/>
      <c r="E30" s="10" t="n">
        <f aca="false">AVERAGE(E11:E14)</f>
        <v>176.25</v>
      </c>
      <c r="F30" s="5"/>
      <c r="G30" s="5" t="s">
        <v>130</v>
      </c>
    </row>
    <row r="32" customFormat="false" ht="90.75" hidden="false" customHeight="true" outlineLevel="0" collapsed="false">
      <c r="A32" s="7" t="s">
        <v>131</v>
      </c>
      <c r="B32" s="7"/>
      <c r="C32" s="7"/>
      <c r="D32" s="7"/>
      <c r="E32" s="7"/>
      <c r="F32" s="7"/>
      <c r="G32" s="7"/>
    </row>
  </sheetData>
  <mergeCells count="3">
    <mergeCell ref="A1:G1"/>
    <mergeCell ref="A2:G2"/>
    <mergeCell ref="A32:G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6"/>
    <col collapsed="false" customWidth="true" hidden="false" outlineLevel="0" max="4" min="4" style="0" width="30"/>
    <col collapsed="false" customWidth="true" hidden="false" outlineLevel="0" max="5" min="5" style="0" width="26"/>
  </cols>
  <sheetData>
    <row r="1" customFormat="false" ht="21.75" hidden="false" customHeight="true" outlineLevel="0" collapsed="false">
      <c r="A1" s="1" t="s">
        <v>132</v>
      </c>
      <c r="B1" s="1"/>
      <c r="C1" s="1"/>
      <c r="D1" s="1"/>
      <c r="E1" s="1"/>
    </row>
    <row r="2" customFormat="false" ht="42" hidden="false" customHeight="true" outlineLevel="0" collapsed="false">
      <c r="A2" s="2" t="s">
        <v>133</v>
      </c>
      <c r="B2" s="2"/>
      <c r="C2" s="2"/>
      <c r="D2" s="2"/>
      <c r="E2" s="2"/>
    </row>
    <row r="4" customFormat="false" ht="30" hidden="false" customHeight="true" outlineLevel="0" collapsed="false">
      <c r="A4" s="4" t="s">
        <v>86</v>
      </c>
      <c r="B4" s="4" t="s">
        <v>134</v>
      </c>
      <c r="C4" s="4" t="s">
        <v>135</v>
      </c>
      <c r="D4" s="4" t="s">
        <v>136</v>
      </c>
      <c r="E4" s="4" t="s">
        <v>137</v>
      </c>
    </row>
    <row r="5" customFormat="false" ht="15" hidden="false" customHeight="false" outlineLevel="0" collapsed="false">
      <c r="A5" s="5" t="s">
        <v>93</v>
      </c>
      <c r="B5" s="5" t="s">
        <v>94</v>
      </c>
      <c r="C5" s="12" t="n">
        <v>0.43</v>
      </c>
      <c r="D5" s="10" t="n">
        <v>170</v>
      </c>
      <c r="E5" s="5" t="str">
        <f aca="false">IF(AND(D5&gt;=01_Fig07_HydHead!C5,D5&lt;=01_Fig07_HydHead!D5),"within Fig.7 min-max","OUTSIDE Fig.7 min-max")</f>
        <v>within Fig.7 min-max</v>
      </c>
    </row>
    <row r="6" customFormat="false" ht="15" hidden="false" customHeight="false" outlineLevel="0" collapsed="false">
      <c r="A6" s="5" t="s">
        <v>95</v>
      </c>
      <c r="B6" s="5" t="s">
        <v>94</v>
      </c>
      <c r="C6" s="12" t="n">
        <v>0.4</v>
      </c>
      <c r="D6" s="10" t="n">
        <v>170.5</v>
      </c>
      <c r="E6" s="5" t="str">
        <f aca="false">IF(AND(D6&gt;=01_Fig07_HydHead!C6,D6&lt;=01_Fig07_HydHead!D6),"within Fig.7 min-max","OUTSIDE Fig.7 min-max")</f>
        <v>within Fig.7 min-max</v>
      </c>
    </row>
    <row r="7" customFormat="false" ht="15" hidden="false" customHeight="false" outlineLevel="0" collapsed="false">
      <c r="A7" s="5" t="s">
        <v>96</v>
      </c>
      <c r="B7" s="5" t="s">
        <v>94</v>
      </c>
      <c r="C7" s="12" t="n">
        <v>0.68</v>
      </c>
      <c r="D7" s="10" t="n">
        <v>168</v>
      </c>
      <c r="E7" s="5" t="str">
        <f aca="false">IF(AND(D7&gt;=01_Fig07_HydHead!C7,D7&lt;=01_Fig07_HydHead!D7),"within Fig.7 min-max","OUTSIDE Fig.7 min-max")</f>
        <v>within Fig.7 min-max</v>
      </c>
    </row>
    <row r="8" customFormat="false" ht="15" hidden="false" customHeight="false" outlineLevel="0" collapsed="false">
      <c r="A8" s="5" t="s">
        <v>97</v>
      </c>
      <c r="B8" s="5" t="s">
        <v>94</v>
      </c>
      <c r="C8" s="12" t="n">
        <v>0.36</v>
      </c>
      <c r="D8" s="10" t="n">
        <v>168.5</v>
      </c>
      <c r="E8" s="5" t="str">
        <f aca="false">IF(AND(D8&gt;=01_Fig07_HydHead!C8,D8&lt;=01_Fig07_HydHead!D8),"within Fig.7 min-max","OUTSIDE Fig.7 min-max")</f>
        <v>within Fig.7 min-max</v>
      </c>
    </row>
    <row r="9" customFormat="false" ht="15" hidden="false" customHeight="false" outlineLevel="0" collapsed="false">
      <c r="A9" s="5" t="s">
        <v>98</v>
      </c>
      <c r="B9" s="5" t="s">
        <v>94</v>
      </c>
      <c r="C9" s="12" t="n">
        <v>0.29</v>
      </c>
      <c r="D9" s="10" t="n">
        <v>168</v>
      </c>
      <c r="E9" s="5" t="str">
        <f aca="false">IF(AND(D9&gt;=01_Fig07_HydHead!C9,D9&lt;=01_Fig07_HydHead!D9),"within Fig.7 min-max","OUTSIDE Fig.7 min-max")</f>
        <v>within Fig.7 min-max</v>
      </c>
    </row>
    <row r="10" customFormat="false" ht="15" hidden="false" customHeight="false" outlineLevel="0" collapsed="false">
      <c r="A10" s="5" t="s">
        <v>99</v>
      </c>
      <c r="B10" s="5" t="s">
        <v>94</v>
      </c>
      <c r="C10" s="12" t="n">
        <v>0.05</v>
      </c>
      <c r="D10" s="10" t="n">
        <v>163.5</v>
      </c>
      <c r="E10" s="5" t="str">
        <f aca="false">IF(AND(D10&gt;=01_Fig07_HydHead!C10,D10&lt;=01_Fig07_HydHead!D10),"within Fig.7 min-max","OUTSIDE Fig.7 min-max")</f>
        <v>within Fig.7 min-max</v>
      </c>
    </row>
    <row r="11" customFormat="false" ht="15" hidden="false" customHeight="false" outlineLevel="0" collapsed="false">
      <c r="A11" s="5" t="s">
        <v>101</v>
      </c>
      <c r="B11" s="5" t="s">
        <v>102</v>
      </c>
      <c r="C11" s="12" t="n">
        <v>0.5</v>
      </c>
      <c r="D11" s="10" t="n">
        <v>195.5</v>
      </c>
      <c r="E11" s="5" t="str">
        <f aca="false">IF(AND(D11&gt;=01_Fig07_HydHead!C11,D11&lt;=01_Fig07_HydHead!D11),"within Fig.7 min-max","OUTSIDE Fig.7 min-max")</f>
        <v>within Fig.7 min-max</v>
      </c>
    </row>
    <row r="12" customFormat="false" ht="15" hidden="false" customHeight="false" outlineLevel="0" collapsed="false">
      <c r="A12" s="5" t="s">
        <v>103</v>
      </c>
      <c r="B12" s="5" t="s">
        <v>102</v>
      </c>
      <c r="C12" s="12" t="n">
        <v>7.38</v>
      </c>
      <c r="D12" s="10" t="n">
        <v>200.5</v>
      </c>
      <c r="E12" s="5" t="str">
        <f aca="false">IF(AND(D12&gt;=01_Fig07_HydHead!C12,D12&lt;=01_Fig07_HydHead!D12),"within Fig.7 min-max","OUTSIDE Fig.7 min-max")</f>
        <v>within Fig.7 min-max</v>
      </c>
    </row>
    <row r="13" customFormat="false" ht="15" hidden="false" customHeight="false" outlineLevel="0" collapsed="false">
      <c r="A13" s="5" t="s">
        <v>105</v>
      </c>
      <c r="B13" s="5" t="s">
        <v>102</v>
      </c>
      <c r="C13" s="12" t="n">
        <v>0.5</v>
      </c>
      <c r="D13" s="10" t="n">
        <v>197</v>
      </c>
      <c r="E13" s="5" t="str">
        <f aca="false">IF(AND(D13&gt;=01_Fig07_HydHead!C13,D13&lt;=01_Fig07_HydHead!D13),"within Fig.7 min-max","OUTSIDE Fig.7 min-max")</f>
        <v>within Fig.7 min-max</v>
      </c>
    </row>
    <row r="14" customFormat="false" ht="15" hidden="false" customHeight="false" outlineLevel="0" collapsed="false">
      <c r="A14" s="5" t="s">
        <v>107</v>
      </c>
      <c r="B14" s="5" t="s">
        <v>102</v>
      </c>
      <c r="C14" s="12" t="n">
        <v>2.74</v>
      </c>
      <c r="D14" s="10" t="n">
        <v>112</v>
      </c>
      <c r="E14" s="5" t="str">
        <f aca="false">IF(AND(D14&gt;=01_Fig07_HydHead!C14,D14&lt;=01_Fig07_HydHead!D14),"within Fig.7 min-max","OUTSIDE Fig.7 min-max")</f>
        <v>within Fig.7 min-max</v>
      </c>
    </row>
    <row r="15" customFormat="false" ht="15" hidden="false" customHeight="false" outlineLevel="0" collapsed="false">
      <c r="A15" s="5" t="s">
        <v>109</v>
      </c>
      <c r="B15" s="5" t="s">
        <v>110</v>
      </c>
      <c r="C15" s="12" t="n">
        <v>2.05</v>
      </c>
      <c r="D15" s="10" t="n">
        <v>166</v>
      </c>
      <c r="E15" s="5" t="str">
        <f aca="false">IF(AND(D15&gt;=01_Fig07_HydHead!C15,D15&lt;=01_Fig07_HydHead!D15),"within Fig.7 min-max","OUTSIDE Fig.7 min-max")</f>
        <v>within Fig.7 min-max</v>
      </c>
    </row>
    <row r="16" customFormat="false" ht="15" hidden="false" customHeight="false" outlineLevel="0" collapsed="false">
      <c r="A16" s="5" t="s">
        <v>111</v>
      </c>
      <c r="B16" s="5" t="s">
        <v>110</v>
      </c>
      <c r="C16" s="12" t="n">
        <v>3.17</v>
      </c>
      <c r="D16" s="10" t="n">
        <v>158.5</v>
      </c>
      <c r="E16" s="5" t="str">
        <f aca="false">IF(AND(D16&gt;=01_Fig07_HydHead!C16,D16&lt;=01_Fig07_HydHead!D16),"within Fig.7 min-max","OUTSIDE Fig.7 min-max")</f>
        <v>within Fig.7 min-max</v>
      </c>
    </row>
    <row r="17" customFormat="false" ht="15" hidden="false" customHeight="false" outlineLevel="0" collapsed="false">
      <c r="A17" s="5" t="s">
        <v>112</v>
      </c>
      <c r="B17" s="5" t="s">
        <v>110</v>
      </c>
      <c r="C17" s="12" t="n">
        <v>2.81</v>
      </c>
      <c r="D17" s="10" t="n">
        <v>220</v>
      </c>
      <c r="E17" s="5" t="str">
        <f aca="false">IF(AND(D17&gt;=01_Fig07_HydHead!C17,D17&lt;=01_Fig07_HydHead!D17),"within Fig.7 min-max","OUTSIDE Fig.7 min-max")</f>
        <v>within Fig.7 min-max</v>
      </c>
    </row>
    <row r="18" customFormat="false" ht="15" hidden="false" customHeight="false" outlineLevel="0" collapsed="false">
      <c r="A18" s="5" t="s">
        <v>113</v>
      </c>
      <c r="B18" s="5" t="s">
        <v>110</v>
      </c>
      <c r="C18" s="12" t="n">
        <v>0.25</v>
      </c>
      <c r="D18" s="10" t="n">
        <v>216.5</v>
      </c>
      <c r="E18" s="5" t="str">
        <f aca="false">IF(AND(D18&gt;=01_Fig07_HydHead!C18,D18&lt;=01_Fig07_HydHead!D18),"within Fig.7 min-max","OUTSIDE Fig.7 min-max")</f>
        <v>OUTSIDE Fig.7 min-max</v>
      </c>
    </row>
    <row r="19" customFormat="false" ht="15" hidden="false" customHeight="false" outlineLevel="0" collapsed="false">
      <c r="A19" s="5" t="s">
        <v>114</v>
      </c>
      <c r="B19" s="5" t="s">
        <v>110</v>
      </c>
      <c r="C19" s="12" t="n">
        <v>0.76</v>
      </c>
      <c r="D19" s="10" t="n">
        <v>226.5</v>
      </c>
      <c r="E19" s="5" t="str">
        <f aca="false">IF(AND(D19&gt;=01_Fig07_HydHead!C19,D19&lt;=01_Fig07_HydHead!D19),"within Fig.7 min-max","OUTSIDE Fig.7 min-max")</f>
        <v>within Fig.7 min-max</v>
      </c>
    </row>
    <row r="20" customFormat="false" ht="15" hidden="false" customHeight="false" outlineLevel="0" collapsed="false">
      <c r="A20" s="5" t="s">
        <v>116</v>
      </c>
      <c r="B20" s="5" t="s">
        <v>110</v>
      </c>
      <c r="C20" s="12" t="n">
        <v>1.62</v>
      </c>
      <c r="D20" s="10" t="n">
        <v>211</v>
      </c>
      <c r="E20" s="5" t="str">
        <f aca="false">IF(AND(D20&gt;=01_Fig07_HydHead!C20,D20&lt;=01_Fig07_HydHead!D20),"within Fig.7 min-max","OUTSIDE Fig.7 min-max")</f>
        <v>within Fig.7 min-max</v>
      </c>
    </row>
    <row r="21" customFormat="false" ht="15" hidden="false" customHeight="false" outlineLevel="0" collapsed="false">
      <c r="A21" s="5" t="s">
        <v>117</v>
      </c>
      <c r="B21" s="5" t="s">
        <v>110</v>
      </c>
      <c r="C21" s="12" t="n">
        <v>0.97</v>
      </c>
      <c r="D21" s="10" t="n">
        <v>165</v>
      </c>
      <c r="E21" s="5" t="str">
        <f aca="false">IF(AND(D21&gt;=01_Fig07_HydHead!C21,D21&lt;=01_Fig07_HydHead!D21),"within Fig.7 min-max","OUTSIDE Fig.7 min-max")</f>
        <v>within Fig.7 min-max</v>
      </c>
    </row>
    <row r="22" customFormat="false" ht="15" hidden="false" customHeight="false" outlineLevel="0" collapsed="false">
      <c r="A22" s="5" t="s">
        <v>119</v>
      </c>
      <c r="B22" s="5" t="s">
        <v>110</v>
      </c>
      <c r="C22" s="12" t="n">
        <v>1.66</v>
      </c>
      <c r="D22" s="10" t="n">
        <v>167</v>
      </c>
      <c r="E22" s="5" t="str">
        <f aca="false">IF(AND(D22&gt;=01_Fig07_HydHead!C22,D22&lt;=01_Fig07_HydHead!D22),"within Fig.7 min-max","OUTSIDE Fig.7 min-max")</f>
        <v>within Fig.7 min-max</v>
      </c>
    </row>
    <row r="23" customFormat="false" ht="15" hidden="false" customHeight="false" outlineLevel="0" collapsed="false">
      <c r="A23" s="5" t="s">
        <v>120</v>
      </c>
      <c r="B23" s="5" t="s">
        <v>110</v>
      </c>
      <c r="C23" s="12" t="n">
        <v>8.39</v>
      </c>
      <c r="D23" s="10" t="n">
        <v>207</v>
      </c>
      <c r="E23" s="5" t="str">
        <f aca="false">IF(AND(D23&gt;=01_Fig07_HydHead!C23,D23&lt;=01_Fig07_HydHead!D23),"within Fig.7 min-max","OUTSIDE Fig.7 min-max")</f>
        <v>within Fig.7 min-max</v>
      </c>
    </row>
    <row r="24" customFormat="false" ht="15" hidden="false" customHeight="false" outlineLevel="0" collapsed="false">
      <c r="A24" s="5" t="s">
        <v>122</v>
      </c>
      <c r="B24" s="5" t="s">
        <v>123</v>
      </c>
      <c r="C24" s="12" t="n">
        <v>3.38</v>
      </c>
      <c r="D24" s="10" t="n">
        <v>171</v>
      </c>
      <c r="E24" s="5" t="str">
        <f aca="false">IF(AND(D24&gt;=01_Fig07_HydHead!C24,D24&lt;=01_Fig07_HydHead!D24),"within Fig.7 min-max","OUTSIDE Fig.7 min-max")</f>
        <v>within Fig.7 min-max</v>
      </c>
    </row>
    <row r="25" customFormat="false" ht="15" hidden="false" customHeight="false" outlineLevel="0" collapsed="false">
      <c r="A25" s="5" t="s">
        <v>124</v>
      </c>
      <c r="B25" s="5" t="s">
        <v>123</v>
      </c>
      <c r="C25" s="12" t="n">
        <v>4.75</v>
      </c>
      <c r="D25" s="10" t="n">
        <v>158</v>
      </c>
      <c r="E25" s="5" t="str">
        <f aca="false">IF(AND(D25&gt;=01_Fig07_HydHead!C25,D25&lt;=01_Fig07_HydHead!D25),"within Fig.7 min-max","OUTSIDE Fig.7 min-max")</f>
        <v>within Fig.7 min-max</v>
      </c>
    </row>
    <row r="26" customFormat="false" ht="15" hidden="false" customHeight="false" outlineLevel="0" collapsed="false">
      <c r="A26" s="5" t="s">
        <v>125</v>
      </c>
      <c r="B26" s="5" t="s">
        <v>123</v>
      </c>
      <c r="C26" s="12" t="n">
        <v>4.61</v>
      </c>
      <c r="D26" s="10" t="n">
        <v>110</v>
      </c>
      <c r="E26" s="5" t="str">
        <f aca="false">IF(AND(D26&gt;=01_Fig07_HydHead!C26,D26&lt;=01_Fig07_HydHead!D26),"within Fig.7 min-max","OUTSIDE Fig.7 min-max")</f>
        <v>within Fig.7 min-max</v>
      </c>
    </row>
    <row r="27" customFormat="false" ht="15" hidden="false" customHeight="false" outlineLevel="0" collapsed="false">
      <c r="A27" s="5" t="s">
        <v>126</v>
      </c>
      <c r="B27" s="5" t="s">
        <v>123</v>
      </c>
      <c r="C27" s="12" t="n">
        <v>8.03</v>
      </c>
      <c r="D27" s="10" t="n">
        <v>158</v>
      </c>
      <c r="E27" s="5" t="str">
        <f aca="false">IF(AND(D27&gt;=01_Fig07_HydHead!C27,D27&lt;=01_Fig07_HydHead!D27),"within Fig.7 min-max","OUTSIDE Fig.7 min-max")</f>
        <v>within Fig.7 min-max</v>
      </c>
    </row>
    <row r="29" customFormat="false" ht="15" hidden="false" customHeight="false" outlineLevel="0" collapsed="false">
      <c r="A29" s="11" t="s">
        <v>138</v>
      </c>
      <c r="B29" s="5"/>
      <c r="C29" s="12" t="n">
        <f aca="false">MAX(C5:C27)</f>
        <v>8.39</v>
      </c>
      <c r="D29" s="5"/>
      <c r="E29" s="5" t="s">
        <v>139</v>
      </c>
    </row>
    <row r="30" customFormat="false" ht="15" hidden="false" customHeight="false" outlineLevel="0" collapsed="false">
      <c r="A30" s="11" t="s">
        <v>140</v>
      </c>
      <c r="B30" s="5"/>
      <c r="C30" s="5" t="n">
        <f aca="false">COUNTIF(C5:C27,"&lt;5")</f>
        <v>20</v>
      </c>
      <c r="D30" s="5" t="s">
        <v>141</v>
      </c>
      <c r="E30" s="5" t="s">
        <v>142</v>
      </c>
    </row>
    <row r="32" customFormat="false" ht="64.5" hidden="false" customHeight="true" outlineLevel="0" collapsed="false">
      <c r="A32" s="7" t="s">
        <v>143</v>
      </c>
      <c r="B32" s="7"/>
      <c r="C32" s="7"/>
      <c r="D32" s="7"/>
      <c r="E32" s="7"/>
    </row>
  </sheetData>
  <mergeCells count="3">
    <mergeCell ref="A1:E1"/>
    <mergeCell ref="A2:E2"/>
    <mergeCell ref="A32: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22"/>
    <col collapsed="false" customWidth="true" hidden="false" outlineLevel="0" max="4" min="4" style="0" width="12"/>
    <col collapsed="false" customWidth="true" hidden="false" outlineLevel="0" max="5" min="5" style="0" width="22"/>
    <col collapsed="false" customWidth="true" hidden="false" outlineLevel="0" max="6" min="6" style="0" width="24"/>
  </cols>
  <sheetData>
    <row r="1" customFormat="false" ht="21.75" hidden="false" customHeight="true" outlineLevel="0" collapsed="false">
      <c r="A1" s="1" t="s">
        <v>144</v>
      </c>
      <c r="B1" s="1"/>
      <c r="C1" s="1"/>
      <c r="D1" s="1"/>
      <c r="E1" s="1"/>
      <c r="F1" s="1"/>
    </row>
    <row r="2" customFormat="false" ht="42" hidden="false" customHeight="true" outlineLevel="0" collapsed="false">
      <c r="A2" s="2" t="s">
        <v>145</v>
      </c>
      <c r="B2" s="2"/>
      <c r="C2" s="2"/>
      <c r="D2" s="2"/>
      <c r="E2" s="2"/>
      <c r="F2" s="2"/>
    </row>
    <row r="4" customFormat="false" ht="15" hidden="false" customHeight="false" outlineLevel="0" collapsed="false">
      <c r="A4" s="3" t="s">
        <v>146</v>
      </c>
    </row>
    <row r="5" customFormat="false" ht="15" hidden="false" customHeight="false" outlineLevel="0" collapsed="false">
      <c r="A5" s="5" t="s">
        <v>147</v>
      </c>
      <c r="B5" s="13" t="n">
        <v>0.56</v>
      </c>
      <c r="C5" s="5" t="s">
        <v>148</v>
      </c>
      <c r="D5" s="5" t="s">
        <v>149</v>
      </c>
    </row>
    <row r="6" customFormat="false" ht="15" hidden="false" customHeight="false" outlineLevel="0" collapsed="false">
      <c r="A6" s="5" t="s">
        <v>150</v>
      </c>
      <c r="B6" s="5" t="s">
        <v>151</v>
      </c>
      <c r="C6" s="5" t="s">
        <v>152</v>
      </c>
      <c r="D6" s="5" t="s">
        <v>153</v>
      </c>
    </row>
    <row r="8" customFormat="false" ht="30" hidden="false" customHeight="true" outlineLevel="0" collapsed="false">
      <c r="A8" s="4" t="s">
        <v>154</v>
      </c>
      <c r="B8" s="4" t="s">
        <v>155</v>
      </c>
      <c r="C8" s="4" t="s">
        <v>156</v>
      </c>
      <c r="D8" s="4" t="s">
        <v>157</v>
      </c>
      <c r="E8" s="4" t="s">
        <v>158</v>
      </c>
      <c r="F8" s="4" t="s">
        <v>159</v>
      </c>
    </row>
    <row r="9" customFormat="false" ht="15" hidden="false" customHeight="false" outlineLevel="0" collapsed="false">
      <c r="A9" s="5" t="n">
        <v>1</v>
      </c>
      <c r="B9" s="14" t="n">
        <v>0.56</v>
      </c>
      <c r="C9" s="14" t="n">
        <f aca="false">$B$5/SQRT(A9)</f>
        <v>0.56</v>
      </c>
      <c r="D9" s="14" t="n">
        <f aca="false">IF(ISNUMBER(B9),B9-C9,"-")</f>
        <v>0</v>
      </c>
      <c r="E9" s="15" t="n">
        <f aca="false">C9</f>
        <v>0.56</v>
      </c>
      <c r="F9" s="16" t="n">
        <f aca="false">C9/86400</f>
        <v>6.48148148148148E-006</v>
      </c>
    </row>
    <row r="10" customFormat="false" ht="15" hidden="false" customHeight="false" outlineLevel="0" collapsed="false">
      <c r="A10" s="5" t="n">
        <v>2</v>
      </c>
      <c r="B10" s="14" t="n">
        <v>0.396</v>
      </c>
      <c r="C10" s="14" t="n">
        <f aca="false">$B$5/SQRT(A10)</f>
        <v>0.395979797464467</v>
      </c>
      <c r="D10" s="14" t="n">
        <f aca="false">IF(ISNUMBER(B10),B10-C10,"-")</f>
        <v>2.02025355334201E-005</v>
      </c>
      <c r="E10" s="15" t="n">
        <f aca="false">E9+C10</f>
        <v>0.955979797464467</v>
      </c>
      <c r="F10" s="16" t="n">
        <f aca="false">C10/86400</f>
        <v>4.58309950769059E-006</v>
      </c>
    </row>
    <row r="11" customFormat="false" ht="15" hidden="false" customHeight="false" outlineLevel="0" collapsed="false">
      <c r="A11" s="5" t="n">
        <v>3</v>
      </c>
      <c r="B11" s="14" t="n">
        <v>0.325</v>
      </c>
      <c r="C11" s="14" t="n">
        <f aca="false">$B$5/SQRT(A11)</f>
        <v>0.32331615074619</v>
      </c>
      <c r="D11" s="14" t="n">
        <f aca="false">IF(ISNUMBER(B11),B11-C11,"-")</f>
        <v>0.00168384925380954</v>
      </c>
      <c r="E11" s="15" t="n">
        <f aca="false">E10+C11</f>
        <v>1.27929594821066</v>
      </c>
      <c r="F11" s="16" t="n">
        <f aca="false">C11/86400</f>
        <v>3.74208507808091E-006</v>
      </c>
    </row>
    <row r="12" customFormat="false" ht="15" hidden="false" customHeight="false" outlineLevel="0" collapsed="false">
      <c r="A12" s="5" t="n">
        <v>4</v>
      </c>
      <c r="B12" s="14" t="n">
        <v>0.28</v>
      </c>
      <c r="C12" s="14" t="n">
        <f aca="false">$B$5/SQRT(A12)</f>
        <v>0.28</v>
      </c>
      <c r="D12" s="14" t="n">
        <f aca="false">IF(ISNUMBER(B12),B12-C12,"-")</f>
        <v>0</v>
      </c>
      <c r="E12" s="15" t="n">
        <f aca="false">E11+C12</f>
        <v>1.55929594821066</v>
      </c>
      <c r="F12" s="16" t="n">
        <f aca="false">C12/86400</f>
        <v>3.24074074074074E-006</v>
      </c>
    </row>
    <row r="13" customFormat="false" ht="15" hidden="false" customHeight="false" outlineLevel="0" collapsed="false">
      <c r="A13" s="5" t="n">
        <v>5</v>
      </c>
      <c r="B13" s="14" t="n">
        <v>0.25</v>
      </c>
      <c r="C13" s="14" t="n">
        <f aca="false">$B$5/SQRT(A13)</f>
        <v>0.250439613479976</v>
      </c>
      <c r="D13" s="14" t="n">
        <f aca="false">IF(ISNUMBER(B13),B13-C13,"-")</f>
        <v>-0.000439613479976453</v>
      </c>
      <c r="E13" s="15" t="n">
        <f aca="false">E12+C13</f>
        <v>1.80973556169063</v>
      </c>
      <c r="F13" s="16" t="n">
        <f aca="false">C13/86400</f>
        <v>2.89860663749973E-006</v>
      </c>
    </row>
    <row r="14" customFormat="false" ht="15" hidden="false" customHeight="false" outlineLevel="0" collapsed="false">
      <c r="A14" s="5" t="n">
        <v>6</v>
      </c>
      <c r="B14" s="14" t="n">
        <v>0.229</v>
      </c>
      <c r="C14" s="14" t="n">
        <f aca="false">$B$5/SQRT(A14)</f>
        <v>0.228619042659763</v>
      </c>
      <c r="D14" s="14" t="n">
        <f aca="false">IF(ISNUMBER(B14),B14-C14,"-")</f>
        <v>0.000380957340236687</v>
      </c>
      <c r="E14" s="15" t="n">
        <f aca="false">E13+C14</f>
        <v>2.0383546043504</v>
      </c>
      <c r="F14" s="16" t="n">
        <f aca="false">C14/86400</f>
        <v>2.646053734488E-006</v>
      </c>
    </row>
    <row r="15" customFormat="false" ht="15" hidden="false" customHeight="false" outlineLevel="0" collapsed="false">
      <c r="A15" s="5" t="n">
        <v>7</v>
      </c>
      <c r="B15" s="14" t="n">
        <v>0.212</v>
      </c>
      <c r="C15" s="14" t="n">
        <f aca="false">$B$5/SQRT(A15)</f>
        <v>0.211660104885167</v>
      </c>
      <c r="D15" s="14" t="n">
        <f aca="false">IF(ISNUMBER(B15),B15-C15,"-")</f>
        <v>0.000339895114832733</v>
      </c>
      <c r="E15" s="15" t="n">
        <f aca="false">E14+C15</f>
        <v>2.25001470923556</v>
      </c>
      <c r="F15" s="16" t="n">
        <f aca="false">C15/86400</f>
        <v>2.44976973246721E-006</v>
      </c>
    </row>
    <row r="16" customFormat="false" ht="15" hidden="false" customHeight="false" outlineLevel="0" collapsed="false">
      <c r="A16" s="5" t="n">
        <v>8</v>
      </c>
      <c r="B16" s="14" t="n">
        <v>0.198</v>
      </c>
      <c r="C16" s="14" t="n">
        <f aca="false">$B$5/SQRT(A16)</f>
        <v>0.197989898732233</v>
      </c>
      <c r="D16" s="14" t="n">
        <f aca="false">IF(ISNUMBER(B16),B16-C16,"-")</f>
        <v>1.01012677667101E-005</v>
      </c>
      <c r="E16" s="15" t="n">
        <f aca="false">E15+C16</f>
        <v>2.4480046079678</v>
      </c>
      <c r="F16" s="16" t="n">
        <f aca="false">C16/86400</f>
        <v>2.29154975384529E-006</v>
      </c>
    </row>
    <row r="17" customFormat="false" ht="15" hidden="false" customHeight="false" outlineLevel="0" collapsed="false">
      <c r="A17" s="5" t="n">
        <v>9</v>
      </c>
      <c r="B17" s="14" t="n">
        <v>0.187</v>
      </c>
      <c r="C17" s="14" t="n">
        <f aca="false">$B$5/SQRT(A17)</f>
        <v>0.186666666666667</v>
      </c>
      <c r="D17" s="14" t="n">
        <f aca="false">IF(ISNUMBER(B17),B17-C17,"-")</f>
        <v>0.000333333333333324</v>
      </c>
      <c r="E17" s="15" t="n">
        <f aca="false">E16+C17</f>
        <v>2.63467127463446</v>
      </c>
      <c r="F17" s="16" t="n">
        <f aca="false">C17/86400</f>
        <v>2.16049382716049E-006</v>
      </c>
    </row>
    <row r="18" customFormat="false" ht="15" hidden="false" customHeight="false" outlineLevel="0" collapsed="false">
      <c r="A18" s="5" t="n">
        <v>10</v>
      </c>
      <c r="B18" s="14" t="n">
        <v>0.177</v>
      </c>
      <c r="C18" s="14" t="n">
        <f aca="false">$B$5/SQRT(A18)</f>
        <v>0.177087548969429</v>
      </c>
      <c r="D18" s="14" t="n">
        <f aca="false">IF(ISNUMBER(B18),B18-C18,"-")</f>
        <v>-8.75489694292519E-005</v>
      </c>
      <c r="E18" s="15" t="n">
        <f aca="false">E17+C18</f>
        <v>2.81175882360389</v>
      </c>
      <c r="F18" s="16" t="n">
        <f aca="false">C18/86400</f>
        <v>2.04962440936839E-006</v>
      </c>
    </row>
    <row r="19" customFormat="false" ht="15" hidden="false" customHeight="false" outlineLevel="0" collapsed="false">
      <c r="A19" s="5" t="n">
        <v>11</v>
      </c>
      <c r="B19" s="14"/>
      <c r="C19" s="14" t="n">
        <f aca="false">$B$5/SQRT(A19)</f>
        <v>0.168846352963548</v>
      </c>
      <c r="D19" s="14" t="str">
        <f aca="false">IF(ISNUMBER(B19),B19-C19,"-")</f>
        <v>-</v>
      </c>
      <c r="E19" s="15" t="n">
        <f aca="false">E18+C19</f>
        <v>2.98060517656744</v>
      </c>
      <c r="F19" s="16" t="n">
        <f aca="false">C19/86400</f>
        <v>1.95424019633736E-006</v>
      </c>
    </row>
    <row r="20" customFormat="false" ht="15" hidden="false" customHeight="false" outlineLevel="0" collapsed="false">
      <c r="A20" s="5" t="n">
        <v>12</v>
      </c>
      <c r="B20" s="14" t="n">
        <v>0.162</v>
      </c>
      <c r="C20" s="14" t="n">
        <f aca="false">$B$5/SQRT(A20)</f>
        <v>0.161658075373095</v>
      </c>
      <c r="D20" s="14" t="n">
        <f aca="false">IF(ISNUMBER(B20),B20-C20,"-")</f>
        <v>0.000341924626904772</v>
      </c>
      <c r="E20" s="15" t="n">
        <f aca="false">E19+C20</f>
        <v>3.14226325194054</v>
      </c>
      <c r="F20" s="16" t="n">
        <f aca="false">C20/86400</f>
        <v>1.87104253904045E-006</v>
      </c>
    </row>
    <row r="21" customFormat="false" ht="15" hidden="false" customHeight="false" outlineLevel="0" collapsed="false">
      <c r="A21" s="5" t="n">
        <v>13</v>
      </c>
      <c r="B21" s="14"/>
      <c r="C21" s="14" t="n">
        <f aca="false">$B$5/SQRT(A21)</f>
        <v>0.155316054943064</v>
      </c>
      <c r="D21" s="14" t="str">
        <f aca="false">IF(ISNUMBER(B21),B21-C21,"-")</f>
        <v>-</v>
      </c>
      <c r="E21" s="15" t="n">
        <f aca="false">E20+C21</f>
        <v>3.2975793068836</v>
      </c>
      <c r="F21" s="16" t="n">
        <f aca="false">C21/86400</f>
        <v>1.79763952480398E-006</v>
      </c>
    </row>
    <row r="22" customFormat="false" ht="15" hidden="false" customHeight="false" outlineLevel="0" collapsed="false">
      <c r="A22" s="5" t="n">
        <v>14</v>
      </c>
      <c r="B22" s="14"/>
      <c r="C22" s="14" t="n">
        <f aca="false">$B$5/SQRT(A22)</f>
        <v>0.149666295470958</v>
      </c>
      <c r="D22" s="14" t="str">
        <f aca="false">IF(ISNUMBER(B22),B22-C22,"-")</f>
        <v>-</v>
      </c>
      <c r="E22" s="15" t="n">
        <f aca="false">E21+C22</f>
        <v>3.44724560235456</v>
      </c>
      <c r="F22" s="16" t="n">
        <f aca="false">C22/86400</f>
        <v>1.73224879017312E-006</v>
      </c>
    </row>
    <row r="23" customFormat="false" ht="15" hidden="false" customHeight="false" outlineLevel="0" collapsed="false">
      <c r="A23" s="5" t="n">
        <v>15</v>
      </c>
      <c r="B23" s="14" t="n">
        <v>0.145</v>
      </c>
      <c r="C23" s="14" t="n">
        <f aca="false">$B$5/SQRT(A23)</f>
        <v>0.14459137825841</v>
      </c>
      <c r="D23" s="14" t="n">
        <f aca="false">IF(ISNUMBER(B23),B23-C23,"-")</f>
        <v>0.00040862174158976</v>
      </c>
      <c r="E23" s="15" t="n">
        <f aca="false">E22+C23</f>
        <v>3.59183698061297</v>
      </c>
      <c r="F23" s="16" t="n">
        <f aca="false">C23/86400</f>
        <v>1.6735113224353E-006</v>
      </c>
    </row>
    <row r="24" customFormat="false" ht="15" hidden="false" customHeight="false" outlineLevel="0" collapsed="false">
      <c r="A24" s="5" t="n">
        <v>16</v>
      </c>
      <c r="B24" s="14"/>
      <c r="C24" s="14" t="n">
        <f aca="false">$B$5/SQRT(A24)</f>
        <v>0.14</v>
      </c>
      <c r="D24" s="14" t="str">
        <f aca="false">IF(ISNUMBER(B24),B24-C24,"-")</f>
        <v>-</v>
      </c>
      <c r="E24" s="15" t="n">
        <f aca="false">E23+C24</f>
        <v>3.73183698061297</v>
      </c>
      <c r="F24" s="16" t="n">
        <f aca="false">C24/86400</f>
        <v>1.62037037037037E-006</v>
      </c>
    </row>
    <row r="25" customFormat="false" ht="15" hidden="false" customHeight="false" outlineLevel="0" collapsed="false">
      <c r="A25" s="5" t="n">
        <v>17</v>
      </c>
      <c r="B25" s="14"/>
      <c r="C25" s="14" t="n">
        <f aca="false">$B$5/SQRT(A25)</f>
        <v>0.135819950020346</v>
      </c>
      <c r="D25" s="14" t="str">
        <f aca="false">IF(ISNUMBER(B25),B25-C25,"-")</f>
        <v>-</v>
      </c>
      <c r="E25" s="15" t="n">
        <f aca="false">E24+C25</f>
        <v>3.86765693063332</v>
      </c>
      <c r="F25" s="16" t="n">
        <f aca="false">C25/86400</f>
        <v>1.57199016227253E-006</v>
      </c>
    </row>
    <row r="26" customFormat="false" ht="15" hidden="false" customHeight="false" outlineLevel="0" collapsed="false">
      <c r="A26" s="5" t="n">
        <v>18</v>
      </c>
      <c r="B26" s="14"/>
      <c r="C26" s="14" t="n">
        <f aca="false">$B$5/SQRT(A26)</f>
        <v>0.131993265821489</v>
      </c>
      <c r="D26" s="14" t="str">
        <f aca="false">IF(ISNUMBER(B26),B26-C26,"-")</f>
        <v>-</v>
      </c>
      <c r="E26" s="15" t="n">
        <f aca="false">E25+C26</f>
        <v>3.9996501964548</v>
      </c>
      <c r="F26" s="16" t="n">
        <f aca="false">C26/86400</f>
        <v>1.52769983589686E-006</v>
      </c>
    </row>
    <row r="27" customFormat="false" ht="15" hidden="false" customHeight="false" outlineLevel="0" collapsed="false">
      <c r="A27" s="5" t="n">
        <v>19</v>
      </c>
      <c r="B27" s="14"/>
      <c r="C27" s="14" t="n">
        <f aca="false">$B$5/SQRT(A27)</f>
        <v>0.128472810967515</v>
      </c>
      <c r="D27" s="14" t="str">
        <f aca="false">IF(ISNUMBER(B27),B27-C27,"-")</f>
        <v>-</v>
      </c>
      <c r="E27" s="15" t="n">
        <f aca="false">E26+C27</f>
        <v>4.12812300742232</v>
      </c>
      <c r="F27" s="16" t="n">
        <f aca="false">C27/86400</f>
        <v>1.48695383064253E-006</v>
      </c>
    </row>
    <row r="28" customFormat="false" ht="15" hidden="false" customHeight="false" outlineLevel="0" collapsed="false">
      <c r="A28" s="5" t="n">
        <v>20</v>
      </c>
      <c r="B28" s="14" t="n">
        <v>0.125</v>
      </c>
      <c r="C28" s="14" t="n">
        <f aca="false">$B$5/SQRT(A28)</f>
        <v>0.125219806739988</v>
      </c>
      <c r="D28" s="14" t="n">
        <f aca="false">IF(ISNUMBER(B28),B28-C28,"-")</f>
        <v>-0.000219806739988226</v>
      </c>
      <c r="E28" s="15" t="n">
        <f aca="false">E27+C28</f>
        <v>4.25334281416231</v>
      </c>
      <c r="F28" s="16" t="n">
        <f aca="false">C28/86400</f>
        <v>1.44930331874986E-006</v>
      </c>
    </row>
    <row r="29" customFormat="false" ht="15" hidden="false" customHeight="false" outlineLevel="0" collapsed="false">
      <c r="A29" s="5" t="n">
        <v>21</v>
      </c>
      <c r="B29" s="14"/>
      <c r="C29" s="14" t="n">
        <f aca="false">$B$5/SQRT(A29)</f>
        <v>0.122202018532156</v>
      </c>
      <c r="D29" s="14" t="str">
        <f aca="false">IF(ISNUMBER(B29),B29-C29,"-")</f>
        <v>-</v>
      </c>
      <c r="E29" s="15" t="n">
        <f aca="false">E28+C29</f>
        <v>4.37554483269446</v>
      </c>
      <c r="F29" s="16" t="n">
        <f aca="false">C29/86400</f>
        <v>1.41437521449254E-006</v>
      </c>
    </row>
    <row r="30" customFormat="false" ht="15" hidden="false" customHeight="false" outlineLevel="0" collapsed="false">
      <c r="A30" s="5" t="n">
        <v>22</v>
      </c>
      <c r="B30" s="14"/>
      <c r="C30" s="14" t="n">
        <f aca="false">$B$5/SQRT(A30)</f>
        <v>0.119392401159142</v>
      </c>
      <c r="D30" s="14" t="str">
        <f aca="false">IF(ISNUMBER(B30),B30-C30,"-")</f>
        <v>-</v>
      </c>
      <c r="E30" s="15" t="n">
        <f aca="false">E29+C30</f>
        <v>4.4949372338536</v>
      </c>
      <c r="F30" s="16" t="n">
        <f aca="false">C30/86400</f>
        <v>1.38185649489748E-006</v>
      </c>
    </row>
    <row r="31" customFormat="false" ht="15" hidden="false" customHeight="false" outlineLevel="0" collapsed="false">
      <c r="A31" s="5" t="n">
        <v>23</v>
      </c>
      <c r="B31" s="14"/>
      <c r="C31" s="14" t="n">
        <f aca="false">$B$5/SQRT(A31)</f>
        <v>0.116768071871962</v>
      </c>
      <c r="D31" s="14" t="str">
        <f aca="false">IF(ISNUMBER(B31),B31-C31,"-")</f>
        <v>-</v>
      </c>
      <c r="E31" s="15" t="n">
        <f aca="false">E30+C31</f>
        <v>4.61170530572557</v>
      </c>
      <c r="F31" s="16" t="n">
        <f aca="false">C31/86400</f>
        <v>1.35148231333289E-006</v>
      </c>
    </row>
    <row r="32" customFormat="false" ht="15" hidden="false" customHeight="false" outlineLevel="0" collapsed="false">
      <c r="A32" s="5" t="n">
        <v>24</v>
      </c>
      <c r="B32" s="14"/>
      <c r="C32" s="14" t="n">
        <f aca="false">$B$5/SQRT(A32)</f>
        <v>0.114309521329882</v>
      </c>
      <c r="D32" s="14" t="str">
        <f aca="false">IF(ISNUMBER(B32),B32-C32,"-")</f>
        <v>-</v>
      </c>
      <c r="E32" s="15" t="n">
        <f aca="false">E31+C32</f>
        <v>4.72601482705545</v>
      </c>
      <c r="F32" s="16" t="n">
        <f aca="false">C32/86400</f>
        <v>1.323026867244E-006</v>
      </c>
    </row>
    <row r="33" customFormat="false" ht="15" hidden="false" customHeight="false" outlineLevel="0" collapsed="false">
      <c r="A33" s="5" t="n">
        <v>25</v>
      </c>
      <c r="B33" s="14" t="n">
        <v>0.112</v>
      </c>
      <c r="C33" s="14" t="n">
        <f aca="false">$B$5/SQRT(A33)</f>
        <v>0.112</v>
      </c>
      <c r="D33" s="14" t="n">
        <f aca="false">IF(ISNUMBER(B33),B33-C33,"-")</f>
        <v>0</v>
      </c>
      <c r="E33" s="15" t="n">
        <f aca="false">E32+C33</f>
        <v>4.83801482705545</v>
      </c>
      <c r="F33" s="16" t="n">
        <f aca="false">C33/86400</f>
        <v>1.2962962962963E-006</v>
      </c>
    </row>
    <row r="34" customFormat="false" ht="15" hidden="false" customHeight="false" outlineLevel="0" collapsed="false">
      <c r="A34" s="5" t="n">
        <v>26</v>
      </c>
      <c r="B34" s="14"/>
      <c r="C34" s="14" t="n">
        <f aca="false">$B$5/SQRT(A34)</f>
        <v>0.109825035677383</v>
      </c>
      <c r="D34" s="14" t="str">
        <f aca="false">IF(ISNUMBER(B34),B34-C34,"-")</f>
        <v>-</v>
      </c>
      <c r="E34" s="15" t="n">
        <f aca="false">E33+C34</f>
        <v>4.94783986273283</v>
      </c>
      <c r="F34" s="16" t="n">
        <f aca="false">C34/86400</f>
        <v>1.27112309811786E-006</v>
      </c>
    </row>
    <row r="35" customFormat="false" ht="15" hidden="false" customHeight="false" outlineLevel="0" collapsed="false">
      <c r="A35" s="5" t="n">
        <v>27</v>
      </c>
      <c r="B35" s="14"/>
      <c r="C35" s="14" t="n">
        <f aca="false">$B$5/SQRT(A35)</f>
        <v>0.10777205024873</v>
      </c>
      <c r="D35" s="14" t="str">
        <f aca="false">IF(ISNUMBER(B35),B35-C35,"-")</f>
        <v>-</v>
      </c>
      <c r="E35" s="15" t="n">
        <f aca="false">E34+C35</f>
        <v>5.05561191298156</v>
      </c>
      <c r="F35" s="16" t="n">
        <f aca="false">C35/86400</f>
        <v>1.24736169269364E-006</v>
      </c>
    </row>
    <row r="36" customFormat="false" ht="15" hidden="false" customHeight="false" outlineLevel="0" collapsed="false">
      <c r="A36" s="5" t="n">
        <v>28</v>
      </c>
      <c r="B36" s="14"/>
      <c r="C36" s="14" t="n">
        <f aca="false">$B$5/SQRT(A36)</f>
        <v>0.105830052442584</v>
      </c>
      <c r="D36" s="14" t="str">
        <f aca="false">IF(ISNUMBER(B36),B36-C36,"-")</f>
        <v>-</v>
      </c>
      <c r="E36" s="15" t="n">
        <f aca="false">E35+C36</f>
        <v>5.16144196542415</v>
      </c>
      <c r="F36" s="16" t="n">
        <f aca="false">C36/86400</f>
        <v>1.22488486623361E-006</v>
      </c>
    </row>
    <row r="37" customFormat="false" ht="15" hidden="false" customHeight="false" outlineLevel="0" collapsed="false">
      <c r="A37" s="5" t="n">
        <v>29</v>
      </c>
      <c r="B37" s="14"/>
      <c r="C37" s="14" t="n">
        <f aca="false">$B$5/SQRT(A37)</f>
        <v>0.103989389379149</v>
      </c>
      <c r="D37" s="14" t="str">
        <f aca="false">IF(ISNUMBER(B37),B37-C37,"-")</f>
        <v>-</v>
      </c>
      <c r="E37" s="15" t="n">
        <f aca="false">E36+C37</f>
        <v>5.26543135480329</v>
      </c>
      <c r="F37" s="16" t="n">
        <f aca="false">C37/86400</f>
        <v>1.203580895592E-006</v>
      </c>
    </row>
    <row r="38" customFormat="false" ht="15" hidden="false" customHeight="false" outlineLevel="0" collapsed="false">
      <c r="A38" s="5" t="n">
        <v>30</v>
      </c>
      <c r="B38" s="14" t="n">
        <v>0.102</v>
      </c>
      <c r="C38" s="14" t="n">
        <f aca="false">$B$5/SQRT(A38)</f>
        <v>0.102241544067631</v>
      </c>
      <c r="D38" s="14" t="n">
        <f aca="false">IF(ISNUMBER(B38),B38-C38,"-")</f>
        <v>-0.000241544067631022</v>
      </c>
      <c r="E38" s="15" t="n">
        <f aca="false">E37+C38</f>
        <v>5.36767289887093</v>
      </c>
      <c r="F38" s="16" t="n">
        <f aca="false">C38/86400</f>
        <v>1.18335120448647E-006</v>
      </c>
    </row>
    <row r="40" customFormat="false" ht="15" hidden="false" customHeight="false" outlineLevel="0" collapsed="false">
      <c r="A40" s="11" t="s">
        <v>160</v>
      </c>
      <c r="B40" s="5" t="s">
        <v>161</v>
      </c>
      <c r="C40" s="17" t="n">
        <f aca="false">E38</f>
        <v>5.36767289887093</v>
      </c>
      <c r="D40" s="5" t="s">
        <v>162</v>
      </c>
      <c r="E40" s="5" t="s">
        <v>163</v>
      </c>
    </row>
    <row r="42" customFormat="false" ht="39" hidden="false" customHeight="true" outlineLevel="0" collapsed="false">
      <c r="A42" s="7" t="s">
        <v>164</v>
      </c>
      <c r="B42" s="7"/>
      <c r="C42" s="7"/>
      <c r="D42" s="7"/>
      <c r="E42" s="7"/>
      <c r="F42" s="7"/>
    </row>
    <row r="44" customFormat="false" ht="39" hidden="false" customHeight="true" outlineLevel="0" collapsed="false">
      <c r="A44" s="7" t="s">
        <v>165</v>
      </c>
      <c r="B44" s="7"/>
      <c r="C44" s="7"/>
      <c r="D44" s="7"/>
      <c r="E44" s="7"/>
      <c r="F44" s="7"/>
    </row>
  </sheetData>
  <mergeCells count="4">
    <mergeCell ref="A1:F1"/>
    <mergeCell ref="A2:F2"/>
    <mergeCell ref="A42:F42"/>
    <mergeCell ref="A44:F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13" min="2" style="0" width="11"/>
  </cols>
  <sheetData>
    <row r="1" customFormat="false" ht="21.75" hidden="false" customHeight="true" outlineLevel="0" collapsed="false">
      <c r="A1" s="1" t="s">
        <v>166</v>
      </c>
      <c r="B1" s="1"/>
      <c r="C1" s="1"/>
      <c r="D1" s="1"/>
      <c r="E1" s="1"/>
      <c r="F1" s="1"/>
      <c r="G1" s="1"/>
      <c r="H1" s="1"/>
      <c r="I1" s="1"/>
      <c r="J1" s="1"/>
      <c r="K1" s="1"/>
      <c r="L1" s="1"/>
      <c r="M1" s="1"/>
    </row>
    <row r="2" customFormat="false" ht="42" hidden="false" customHeight="true" outlineLevel="0" collapsed="false">
      <c r="A2" s="2" t="s">
        <v>167</v>
      </c>
      <c r="B2" s="2"/>
      <c r="C2" s="2"/>
      <c r="D2" s="2"/>
      <c r="E2" s="2"/>
      <c r="F2" s="2"/>
      <c r="G2" s="2"/>
      <c r="H2" s="2"/>
      <c r="I2" s="2"/>
      <c r="J2" s="2"/>
      <c r="K2" s="2"/>
      <c r="L2" s="2"/>
      <c r="M2" s="2"/>
    </row>
    <row r="4" customFormat="false" ht="15" hidden="false" customHeight="false" outlineLevel="0" collapsed="false">
      <c r="A4" s="3" t="s">
        <v>168</v>
      </c>
    </row>
    <row r="5" customFormat="false" ht="15" hidden="false" customHeight="false" outlineLevel="0" collapsed="false">
      <c r="A5" s="5" t="s">
        <v>169</v>
      </c>
      <c r="B5" s="18" t="n">
        <v>30</v>
      </c>
      <c r="C5" s="5" t="s">
        <v>170</v>
      </c>
      <c r="D5" s="5" t="s">
        <v>171</v>
      </c>
    </row>
    <row r="6" customFormat="false" ht="15" hidden="false" customHeight="false" outlineLevel="0" collapsed="false">
      <c r="A6" s="5" t="s">
        <v>172</v>
      </c>
      <c r="B6" s="18" t="n">
        <v>20</v>
      </c>
      <c r="C6" s="5" t="s">
        <v>170</v>
      </c>
      <c r="D6" s="5" t="s">
        <v>173</v>
      </c>
    </row>
    <row r="7" customFormat="false" ht="15" hidden="false" customHeight="false" outlineLevel="0" collapsed="false">
      <c r="A7" s="5" t="s">
        <v>174</v>
      </c>
      <c r="B7" s="18" t="n">
        <v>1850</v>
      </c>
      <c r="C7" s="5" t="s">
        <v>175</v>
      </c>
      <c r="D7" s="5" t="s">
        <v>176</v>
      </c>
    </row>
    <row r="8" customFormat="false" ht="15" hidden="false" customHeight="false" outlineLevel="0" collapsed="false">
      <c r="A8" s="5" t="s">
        <v>177</v>
      </c>
      <c r="B8" s="14" t="n">
        <f aca="false">$B$7/86400</f>
        <v>0.021412037037037</v>
      </c>
      <c r="C8" s="5" t="s">
        <v>178</v>
      </c>
      <c r="D8" s="5" t="s">
        <v>179</v>
      </c>
    </row>
    <row r="10" customFormat="false" ht="15" hidden="false" customHeight="false" outlineLevel="0" collapsed="false">
      <c r="A10" s="3" t="s">
        <v>180</v>
      </c>
    </row>
    <row r="11" customFormat="false" ht="15" hidden="false" customHeight="false" outlineLevel="0" collapsed="false">
      <c r="A11" s="19" t="s">
        <v>181</v>
      </c>
      <c r="B11" s="19" t="s">
        <v>182</v>
      </c>
      <c r="C11" s="19" t="s">
        <v>183</v>
      </c>
      <c r="D11" s="19" t="s">
        <v>184</v>
      </c>
      <c r="E11" s="19" t="s">
        <v>185</v>
      </c>
      <c r="F11" s="19" t="s">
        <v>186</v>
      </c>
      <c r="G11" s="19" t="s">
        <v>187</v>
      </c>
      <c r="H11" s="19" t="s">
        <v>188</v>
      </c>
      <c r="I11" s="19" t="s">
        <v>189</v>
      </c>
      <c r="J11" s="19" t="s">
        <v>190</v>
      </c>
      <c r="K11" s="19" t="s">
        <v>191</v>
      </c>
      <c r="L11" s="19" t="s">
        <v>192</v>
      </c>
      <c r="M11" s="19" t="s">
        <v>193</v>
      </c>
    </row>
    <row r="12" customFormat="false" ht="15" hidden="false" customHeight="false" outlineLevel="0" collapsed="false">
      <c r="A12" s="20" t="s">
        <v>194</v>
      </c>
      <c r="B12" s="21" t="n">
        <v>1</v>
      </c>
      <c r="C12" s="21" t="n">
        <v>2</v>
      </c>
      <c r="D12" s="21" t="n">
        <v>3</v>
      </c>
      <c r="E12" s="21" t="n">
        <v>4</v>
      </c>
      <c r="F12" s="21" t="n">
        <v>5</v>
      </c>
      <c r="G12" s="21" t="n">
        <v>6</v>
      </c>
      <c r="H12" s="21" t="n">
        <v>7</v>
      </c>
      <c r="I12" s="21" t="n">
        <v>8</v>
      </c>
      <c r="J12" s="21" t="n">
        <v>9</v>
      </c>
      <c r="K12" s="21" t="n">
        <v>10</v>
      </c>
    </row>
    <row r="13" customFormat="false" ht="15" hidden="false" customHeight="false" outlineLevel="0" collapsed="false">
      <c r="A13" s="5" t="n">
        <v>0</v>
      </c>
      <c r="B13" s="12" t="n">
        <f aca="false">$B$5-$B$6*ERFC($A13/(2*SQRT($B$7*B$12)))</f>
        <v>10</v>
      </c>
      <c r="C13" s="12" t="n">
        <f aca="false">$B$5-$B$6*ERFC($A13/(2*SQRT($B$7*C$12)))</f>
        <v>10</v>
      </c>
      <c r="D13" s="12" t="n">
        <f aca="false">$B$5-$B$6*ERFC($A13/(2*SQRT($B$7*D$12)))</f>
        <v>10</v>
      </c>
      <c r="E13" s="12" t="n">
        <f aca="false">$B$5-$B$6*ERFC($A13/(2*SQRT($B$7*E$12)))</f>
        <v>10</v>
      </c>
      <c r="F13" s="12" t="n">
        <f aca="false">$B$5-$B$6*ERFC($A13/(2*SQRT($B$7*F$12)))</f>
        <v>10</v>
      </c>
      <c r="G13" s="12" t="n">
        <f aca="false">$B$5-$B$6*ERFC($A13/(2*SQRT($B$7*G$12)))</f>
        <v>10</v>
      </c>
      <c r="H13" s="12" t="n">
        <f aca="false">$B$5-$B$6*ERFC($A13/(2*SQRT($B$7*H$12)))</f>
        <v>10</v>
      </c>
      <c r="I13" s="12" t="n">
        <f aca="false">$B$5-$B$6*ERFC($A13/(2*SQRT($B$7*I$12)))</f>
        <v>10</v>
      </c>
      <c r="J13" s="12" t="n">
        <f aca="false">$B$5-$B$6*ERFC($A13/(2*SQRT($B$7*J$12)))</f>
        <v>10</v>
      </c>
      <c r="K13" s="12" t="n">
        <f aca="false">$B$5-$B$6*ERFC($A13/(2*SQRT($B$7*K$12)))</f>
        <v>10</v>
      </c>
      <c r="L13" s="12" t="n">
        <f aca="false">$B$5-B13</f>
        <v>20</v>
      </c>
      <c r="M13" s="12" t="n">
        <f aca="false">$B$5-K13</f>
        <v>20</v>
      </c>
    </row>
    <row r="14" customFormat="false" ht="15" hidden="false" customHeight="false" outlineLevel="0" collapsed="false">
      <c r="A14" s="5" t="n">
        <v>10</v>
      </c>
      <c r="B14" s="12" t="n">
        <f aca="false">$B$5-$B$6*ERFC($A14/(2*SQRT($B$7*B$12)))</f>
        <v>12.6116587851752</v>
      </c>
      <c r="C14" s="12" t="n">
        <f aca="false">$B$5-$B$6*ERFC($A14/(2*SQRT($B$7*C$12)))</f>
        <v>11.8508743521813</v>
      </c>
      <c r="D14" s="12" t="n">
        <f aca="false">$B$5-$B$6*ERFC($A14/(2*SQRT($B$7*D$12)))</f>
        <v>11.5123658613758</v>
      </c>
      <c r="E14" s="12" t="n">
        <f aca="false">$B$5-$B$6*ERFC($A14/(2*SQRT($B$7*E$12)))</f>
        <v>11.3102384781788</v>
      </c>
      <c r="F14" s="12" t="n">
        <f aca="false">$B$5-$B$6*ERFC($A14/(2*SQRT($B$7*F$12)))</f>
        <v>11.17217668166</v>
      </c>
      <c r="G14" s="12" t="n">
        <f aca="false">$B$5-$B$6*ERFC($A14/(2*SQRT($B$7*G$12)))</f>
        <v>11.0702065900398</v>
      </c>
      <c r="H14" s="12" t="n">
        <f aca="false">$B$5-$B$6*ERFC($A14/(2*SQRT($B$7*H$12)))</f>
        <v>10.9909249838273</v>
      </c>
      <c r="I14" s="12" t="n">
        <f aca="false">$B$5-$B$6*ERFC($A14/(2*SQRT($B$7*I$12)))</f>
        <v>10.9269999730269</v>
      </c>
      <c r="J14" s="12" t="n">
        <f aca="false">$B$5-$B$6*ERFC($A14/(2*SQRT($B$7*J$12)))</f>
        <v>10.8740386132429</v>
      </c>
      <c r="K14" s="12" t="n">
        <f aca="false">$B$5-$B$6*ERFC($A14/(2*SQRT($B$7*K$12)))</f>
        <v>10.8292273202811</v>
      </c>
      <c r="L14" s="12" t="n">
        <f aca="false">$B$5-B14</f>
        <v>17.3883412148248</v>
      </c>
      <c r="M14" s="12" t="n">
        <f aca="false">$B$5-K14</f>
        <v>19.1707726797189</v>
      </c>
    </row>
    <row r="15" customFormat="false" ht="15" hidden="false" customHeight="false" outlineLevel="0" collapsed="false">
      <c r="A15" s="5" t="n">
        <v>20</v>
      </c>
      <c r="B15" s="12" t="n">
        <f aca="false">$B$5-$B$6*ERFC($A15/(2*SQRT($B$7*B$12)))</f>
        <v>15.1538321185657</v>
      </c>
      <c r="C15" s="12" t="n">
        <f aca="false">$B$5-$B$6*ERFC($A15/(2*SQRT($B$7*C$12)))</f>
        <v>13.6769329048375</v>
      </c>
      <c r="D15" s="12" t="n">
        <f aca="false">$B$5-$B$6*ERFC($A15/(2*SQRT($B$7*D$12)))</f>
        <v>13.011178128846</v>
      </c>
      <c r="E15" s="12" t="n">
        <f aca="false">$B$5-$B$6*ERFC($A15/(2*SQRT($B$7*E$12)))</f>
        <v>12.6116587851752</v>
      </c>
      <c r="F15" s="12" t="n">
        <f aca="false">$B$5-$B$6*ERFC($A15/(2*SQRT($B$7*F$12)))</f>
        <v>12.3380372051025</v>
      </c>
      <c r="G15" s="12" t="n">
        <f aca="false">$B$5-$B$6*ERFC($A15/(2*SQRT($B$7*G$12)))</f>
        <v>12.1356050721239</v>
      </c>
      <c r="H15" s="12" t="n">
        <f aca="false">$B$5-$B$6*ERFC($A15/(2*SQRT($B$7*H$12)))</f>
        <v>11.978032605107</v>
      </c>
      <c r="I15" s="12" t="n">
        <f aca="false">$B$5-$B$6*ERFC($A15/(2*SQRT($B$7*I$12)))</f>
        <v>11.8508743521813</v>
      </c>
      <c r="J15" s="12" t="n">
        <f aca="false">$B$5-$B$6*ERFC($A15/(2*SQRT($B$7*J$12)))</f>
        <v>11.7454570778224</v>
      </c>
      <c r="K15" s="12" t="n">
        <f aca="false">$B$5-$B$6*ERFC($A15/(2*SQRT($B$7*K$12)))</f>
        <v>11.6562170148607</v>
      </c>
      <c r="L15" s="12" t="n">
        <f aca="false">$B$5-B15</f>
        <v>14.8461678814343</v>
      </c>
      <c r="M15" s="12" t="n">
        <f aca="false">$B$5-K15</f>
        <v>18.3437829851394</v>
      </c>
    </row>
    <row r="16" customFormat="false" ht="15" hidden="false" customHeight="false" outlineLevel="0" collapsed="false">
      <c r="A16" s="5" t="n">
        <v>30</v>
      </c>
      <c r="B16" s="12" t="n">
        <f aca="false">$B$5-$B$6*ERFC($A16/(2*SQRT($B$7*B$12)))</f>
        <v>17.5625315133852</v>
      </c>
      <c r="C16" s="12" t="n">
        <f aca="false">$B$5-$B$6*ERFC($A16/(2*SQRT($B$7*C$12)))</f>
        <v>15.4543535585705</v>
      </c>
      <c r="D16" s="12" t="n">
        <f aca="false">$B$5-$B$6*ERFC($A16/(2*SQRT($B$7*D$12)))</f>
        <v>14.4832465156414</v>
      </c>
      <c r="E16" s="12" t="n">
        <f aca="false">$B$5-$B$6*ERFC($A16/(2*SQRT($B$7*E$12)))</f>
        <v>13.8956203946115</v>
      </c>
      <c r="F16" s="12" t="n">
        <f aca="false">$B$5-$B$6*ERFC($A16/(2*SQRT($B$7*F$12)))</f>
        <v>13.4913673306962</v>
      </c>
      <c r="G16" s="12" t="n">
        <f aca="false">$B$5-$B$6*ERFC($A16/(2*SQRT($B$7*G$12)))</f>
        <v>13.1914520452811</v>
      </c>
      <c r="H16" s="12" t="n">
        <f aca="false">$B$5-$B$6*ERFC($A16/(2*SQRT($B$7*H$12)))</f>
        <v>12.9575495617725</v>
      </c>
      <c r="I16" s="12" t="n">
        <f aca="false">$B$5-$B$6*ERFC($A16/(2*SQRT($B$7*I$12)))</f>
        <v>12.7685291240344</v>
      </c>
      <c r="J16" s="12" t="n">
        <f aca="false">$B$5-$B$6*ERFC($A16/(2*SQRT($B$7*J$12)))</f>
        <v>12.6116587851752</v>
      </c>
      <c r="K16" s="12" t="n">
        <f aca="false">$B$5-$B$6*ERFC($A16/(2*SQRT($B$7*K$12)))</f>
        <v>12.478749556084</v>
      </c>
      <c r="L16" s="12" t="n">
        <f aca="false">$B$5-B16</f>
        <v>12.4374684866148</v>
      </c>
      <c r="M16" s="12" t="n">
        <f aca="false">$B$5-K16</f>
        <v>17.5212504439161</v>
      </c>
    </row>
    <row r="17" customFormat="false" ht="15" hidden="false" customHeight="false" outlineLevel="0" collapsed="false">
      <c r="A17" s="5" t="n">
        <v>40</v>
      </c>
      <c r="B17" s="12" t="n">
        <f aca="false">$B$5-$B$6*ERFC($A17/(2*SQRT($B$7*B$12)))</f>
        <v>19.7840440365221</v>
      </c>
      <c r="C17" s="12" t="n">
        <f aca="false">$B$5-$B$6*ERFC($A17/(2*SQRT($B$7*C$12)))</f>
        <v>17.1612355918987</v>
      </c>
      <c r="D17" s="12" t="n">
        <f aca="false">$B$5-$B$6*ERFC($A17/(2*SQRT($B$7*D$12)))</f>
        <v>15.916091166786</v>
      </c>
      <c r="E17" s="12" t="n">
        <f aca="false">$B$5-$B$6*ERFC($A17/(2*SQRT($B$7*E$12)))</f>
        <v>15.1538321185657</v>
      </c>
      <c r="F17" s="12" t="n">
        <f aca="false">$B$5-$B$6*ERFC($A17/(2*SQRT($B$7*F$12)))</f>
        <v>14.6261539199413</v>
      </c>
      <c r="G17" s="12" t="n">
        <f aca="false">$B$5-$B$6*ERFC($A17/(2*SQRT($B$7*G$12)))</f>
        <v>14.2331320733139</v>
      </c>
      <c r="H17" s="12" t="n">
        <f aca="false">$B$5-$B$6*ERFC($A17/(2*SQRT($B$7*H$12)))</f>
        <v>13.9257898262214</v>
      </c>
      <c r="I17" s="12" t="n">
        <f aca="false">$B$5-$B$6*ERFC($A17/(2*SQRT($B$7*I$12)))</f>
        <v>13.6769329048375</v>
      </c>
      <c r="J17" s="12" t="n">
        <f aca="false">$B$5-$B$6*ERFC($A17/(2*SQRT($B$7*J$12)))</f>
        <v>13.4700938548063</v>
      </c>
      <c r="K17" s="12" t="n">
        <f aca="false">$B$5-$B$6*ERFC($A17/(2*SQRT($B$7*K$12)))</f>
        <v>13.2946413686463</v>
      </c>
      <c r="L17" s="12" t="n">
        <f aca="false">$B$5-B17</f>
        <v>10.2159559634779</v>
      </c>
      <c r="M17" s="12" t="n">
        <f aca="false">$B$5-K17</f>
        <v>16.7053586313537</v>
      </c>
    </row>
    <row r="18" customFormat="false" ht="15" hidden="false" customHeight="false" outlineLevel="0" collapsed="false">
      <c r="A18" s="5" t="n">
        <v>50</v>
      </c>
      <c r="B18" s="12" t="n">
        <f aca="false">$B$5-$B$6*ERFC($A18/(2*SQRT($B$7*B$12)))</f>
        <v>21.7784044255337</v>
      </c>
      <c r="C18" s="12" t="n">
        <f aca="false">$B$5-$B$6*ERFC($A18/(2*SQRT($B$7*C$12)))</f>
        <v>18.7784014082864</v>
      </c>
      <c r="D18" s="12" t="n">
        <f aca="false">$B$5-$B$6*ERFC($A18/(2*SQRT($B$7*D$12)))</f>
        <v>17.2982584249127</v>
      </c>
      <c r="E18" s="12" t="n">
        <f aca="false">$B$5-$B$6*ERFC($A18/(2*SQRT($B$7*E$12)))</f>
        <v>16.3785121774041</v>
      </c>
      <c r="F18" s="12" t="n">
        <f aca="false">$B$5-$B$6*ERFC($A18/(2*SQRT($B$7*F$12)))</f>
        <v>15.7366787485788</v>
      </c>
      <c r="G18" s="12" t="n">
        <f aca="false">$B$5-$B$6*ERFC($A18/(2*SQRT($B$7*G$12)))</f>
        <v>15.2562180895727</v>
      </c>
      <c r="H18" s="12" t="n">
        <f aca="false">$B$5-$B$6*ERFC($A18/(2*SQRT($B$7*H$12)))</f>
        <v>14.87919618904</v>
      </c>
      <c r="I18" s="12" t="n">
        <f aca="false">$B$5-$B$6*ERFC($A18/(2*SQRT($B$7*I$12)))</f>
        <v>14.573146939837</v>
      </c>
      <c r="J18" s="12" t="n">
        <f aca="false">$B$5-$B$6*ERFC($A18/(2*SQRT($B$7*J$12)))</f>
        <v>14.3182816253599</v>
      </c>
      <c r="K18" s="12" t="n">
        <f aca="false">$B$5-$B$6*ERFC($A18/(2*SQRT($B$7*K$12)))</f>
        <v>14.1017622009991</v>
      </c>
      <c r="L18" s="12" t="n">
        <f aca="false">$B$5-B18</f>
        <v>8.22159557446631</v>
      </c>
      <c r="M18" s="12" t="n">
        <f aca="false">$B$5-K18</f>
        <v>15.8982377990009</v>
      </c>
    </row>
    <row r="19" customFormat="false" ht="15" hidden="false" customHeight="false" outlineLevel="0" collapsed="false">
      <c r="A19" s="5" t="n">
        <v>60</v>
      </c>
      <c r="B19" s="12" t="n">
        <f aca="false">$B$5-$B$6*ERFC($A19/(2*SQRT($B$7*B$12)))</f>
        <v>23.5212030880293</v>
      </c>
      <c r="C19" s="12" t="n">
        <f aca="false">$B$5-$B$6*ERFC($A19/(2*SQRT($B$7*C$12)))</f>
        <v>20.2900239471144</v>
      </c>
      <c r="D19" s="12" t="n">
        <f aca="false">$B$5-$B$6*ERFC($A19/(2*SQRT($B$7*D$12)))</f>
        <v>18.6195919929303</v>
      </c>
      <c r="E19" s="12" t="n">
        <f aca="false">$B$5-$B$6*ERFC($A19/(2*SQRT($B$7*E$12)))</f>
        <v>17.5625315133852</v>
      </c>
      <c r="F19" s="12" t="n">
        <f aca="false">$B$5-$B$6*ERFC($A19/(2*SQRT($B$7*F$12)))</f>
        <v>16.8176045172171</v>
      </c>
      <c r="G19" s="12" t="n">
        <f aca="false">$B$5-$B$6*ERFC($A19/(2*SQRT($B$7*G$12)))</f>
        <v>16.256527633807</v>
      </c>
      <c r="H19" s="12" t="n">
        <f aca="false">$B$5-$B$6*ERFC($A19/(2*SQRT($B$7*H$12)))</f>
        <v>15.814379353405</v>
      </c>
      <c r="I19" s="12" t="n">
        <f aca="false">$B$5-$B$6*ERFC($A19/(2*SQRT($B$7*I$12)))</f>
        <v>15.4543535585705</v>
      </c>
      <c r="J19" s="12" t="n">
        <f aca="false">$B$5-$B$6*ERFC($A19/(2*SQRT($B$7*J$12)))</f>
        <v>15.1538321185657</v>
      </c>
      <c r="K19" s="12" t="n">
        <f aca="false">$B$5-$B$6*ERFC($A19/(2*SQRT($B$7*K$12)))</f>
        <v>14.8980517837798</v>
      </c>
      <c r="L19" s="12" t="n">
        <f aca="false">$B$5-B19</f>
        <v>6.47879691197068</v>
      </c>
      <c r="M19" s="12" t="n">
        <f aca="false">$B$5-K19</f>
        <v>15.1019482162202</v>
      </c>
    </row>
    <row r="20" customFormat="false" ht="15" hidden="false" customHeight="false" outlineLevel="0" collapsed="false">
      <c r="A20" s="5" t="n">
        <v>70</v>
      </c>
      <c r="B20" s="12" t="n">
        <f aca="false">$B$5-$B$6*ERFC($A20/(2*SQRT($B$7*B$12)))</f>
        <v>25.003651163281</v>
      </c>
      <c r="C20" s="12" t="n">
        <f aca="false">$B$5-$B$6*ERFC($A20/(2*SQRT($B$7*C$12)))</f>
        <v>21.6840469007414</v>
      </c>
      <c r="D20" s="12" t="n">
        <f aca="false">$B$5-$B$6*ERFC($A20/(2*SQRT($B$7*D$12)))</f>
        <v>19.8714489546277</v>
      </c>
      <c r="E20" s="12" t="n">
        <f aca="false">$B$5-$B$6*ERFC($A20/(2*SQRT($B$7*E$12)))</f>
        <v>18.6995359854374</v>
      </c>
      <c r="F20" s="12" t="n">
        <f aca="false">$B$5-$B$6*ERFC($A20/(2*SQRT($B$7*F$12)))</f>
        <v>17.8640509148894</v>
      </c>
      <c r="G20" s="12" t="n">
        <f aca="false">$B$5-$B$6*ERFC($A20/(2*SQRT($B$7*G$12)))</f>
        <v>17.230173735102</v>
      </c>
      <c r="H20" s="12" t="n">
        <f aca="false">$B$5-$B$6*ERFC($A20/(2*SQRT($B$7*H$12)))</f>
        <v>16.7281538662096</v>
      </c>
      <c r="I20" s="12" t="n">
        <f aca="false">$B$5-$B$6*ERFC($A20/(2*SQRT($B$7*I$12)))</f>
        <v>16.3178826280334</v>
      </c>
      <c r="J20" s="12" t="n">
        <f aca="false">$B$5-$B$6*ERFC($A20/(2*SQRT($B$7*J$12)))</f>
        <v>15.9744661671457</v>
      </c>
      <c r="K20" s="12" t="n">
        <f aca="false">$B$5-$B$6*ERFC($A20/(2*SQRT($B$7*K$12)))</f>
        <v>15.6815355585192</v>
      </c>
      <c r="L20" s="12" t="n">
        <f aca="false">$B$5-B20</f>
        <v>4.99634883671896</v>
      </c>
      <c r="M20" s="12" t="n">
        <f aca="false">$B$5-K20</f>
        <v>14.3184644414808</v>
      </c>
    </row>
    <row r="21" customFormat="false" ht="15" hidden="false" customHeight="false" outlineLevel="0" collapsed="false">
      <c r="A21" s="5" t="n">
        <v>80</v>
      </c>
      <c r="B21" s="12" t="n">
        <f aca="false">$B$5-$B$6*ERFC($A21/(2*SQRT($B$7*B$12)))</f>
        <v>26.2310916551459</v>
      </c>
      <c r="C21" s="12" t="n">
        <f aca="false">$B$5-$B$6*ERFC($A21/(2*SQRT($B$7*C$12)))</f>
        <v>22.9523826978183</v>
      </c>
      <c r="D21" s="12" t="n">
        <f aca="false">$B$5-$B$6*ERFC($A21/(2*SQRT($B$7*D$12)))</f>
        <v>21.0468533827449</v>
      </c>
      <c r="E21" s="12" t="n">
        <f aca="false">$B$5-$B$6*ERFC($A21/(2*SQRT($B$7*E$12)))</f>
        <v>19.7840440365221</v>
      </c>
      <c r="F21" s="12" t="n">
        <f aca="false">$B$5-$B$6*ERFC($A21/(2*SQRT($B$7*F$12)))</f>
        <v>18.8716589538349</v>
      </c>
      <c r="G21" s="12" t="n">
        <f aca="false">$B$5-$B$6*ERFC($A21/(2*SQRT($B$7*G$12)))</f>
        <v>18.1736094186819</v>
      </c>
      <c r="H21" s="12" t="n">
        <f aca="false">$B$5-$B$6*ERFC($A21/(2*SQRT($B$7*H$12)))</f>
        <v>17.6175702552707</v>
      </c>
      <c r="I21" s="12" t="n">
        <f aca="false">$B$5-$B$6*ERFC($A21/(2*SQRT($B$7*I$12)))</f>
        <v>17.1612355918987</v>
      </c>
      <c r="J21" s="12" t="n">
        <f aca="false">$B$5-$B$6*ERFC($A21/(2*SQRT($B$7*J$12)))</f>
        <v>16.7780339252985</v>
      </c>
      <c r="K21" s="12" t="n">
        <f aca="false">$B$5-$B$6*ERFC($A21/(2*SQRT($B$7*K$12)))</f>
        <v>16.4503392771541</v>
      </c>
      <c r="L21" s="12" t="n">
        <f aca="false">$B$5-B21</f>
        <v>3.76890834485413</v>
      </c>
      <c r="M21" s="12" t="n">
        <f aca="false">$B$5-K21</f>
        <v>13.5496607228459</v>
      </c>
    </row>
    <row r="22" customFormat="false" ht="15" hidden="false" customHeight="false" outlineLevel="0" collapsed="false">
      <c r="A22" s="5" t="n">
        <v>90</v>
      </c>
      <c r="B22" s="12" t="n">
        <f aca="false">$B$5-$B$6*ERFC($A22/(2*SQRT($B$7*B$12)))</f>
        <v>27.2203507941363</v>
      </c>
      <c r="C22" s="12" t="n">
        <f aca="false">$B$5-$B$6*ERFC($A22/(2*SQRT($B$7*C$12)))</f>
        <v>24.0908913450815</v>
      </c>
      <c r="D22" s="12" t="n">
        <f aca="false">$B$5-$B$6*ERFC($A22/(2*SQRT($B$7*D$12)))</f>
        <v>22.1405838474209</v>
      </c>
      <c r="E22" s="12" t="n">
        <f aca="false">$B$5-$B$6*ERFC($A22/(2*SQRT($B$7*E$12)))</f>
        <v>20.8115175079351</v>
      </c>
      <c r="F22" s="12" t="n">
        <f aca="false">$B$5-$B$6*ERFC($A22/(2*SQRT($B$7*F$12)))</f>
        <v>19.8366422141199</v>
      </c>
      <c r="G22" s="12" t="n">
        <f aca="false">$B$5-$B$6*ERFC($A22/(2*SQRT($B$7*G$12)))</f>
        <v>19.0836650065895</v>
      </c>
      <c r="H22" s="12" t="n">
        <f aca="false">$B$5-$B$6*ERFC($A22/(2*SQRT($B$7*H$12)))</f>
        <v>18.4799428406646</v>
      </c>
      <c r="I22" s="12" t="n">
        <f aca="false">$B$5-$B$6*ERFC($A22/(2*SQRT($B$7*I$12)))</f>
        <v>17.9821067391848</v>
      </c>
      <c r="J22" s="12" t="n">
        <f aca="false">$B$5-$B$6*ERFC($A22/(2*SQRT($B$7*J$12)))</f>
        <v>17.5625315133852</v>
      </c>
      <c r="K22" s="12" t="n">
        <f aca="false">$B$5-$B$6*ERFC($A22/(2*SQRT($B$7*K$12)))</f>
        <v>17.2027022936814</v>
      </c>
      <c r="L22" s="12" t="n">
        <f aca="false">$B$5-B22</f>
        <v>2.77964920586371</v>
      </c>
      <c r="M22" s="12" t="n">
        <f aca="false">$B$5-K22</f>
        <v>12.7972977063186</v>
      </c>
    </row>
    <row r="23" customFormat="false" ht="15" hidden="false" customHeight="false" outlineLevel="0" collapsed="false">
      <c r="A23" s="5" t="n">
        <v>100</v>
      </c>
      <c r="B23" s="12" t="n">
        <f aca="false">$B$5-$B$6*ERFC($A23/(2*SQRT($B$7*B$12)))</f>
        <v>27.9964341154746</v>
      </c>
      <c r="C23" s="12" t="n">
        <f aca="false">$B$5-$B$6*ERFC($A23/(2*SQRT($B$7*C$12)))</f>
        <v>25.0991597873523</v>
      </c>
      <c r="D23" s="12" t="n">
        <f aca="false">$B$5-$B$6*ERFC($A23/(2*SQRT($B$7*D$12)))</f>
        <v>23.1491947732829</v>
      </c>
      <c r="E23" s="12" t="n">
        <f aca="false">$B$5-$B$6*ERFC($A23/(2*SQRT($B$7*E$12)))</f>
        <v>21.7784044255337</v>
      </c>
      <c r="F23" s="12" t="n">
        <f aca="false">$B$5-$B$6*ERFC($A23/(2*SQRT($B$7*F$12)))</f>
        <v>20.7558240951579</v>
      </c>
      <c r="G23" s="12" t="n">
        <f aca="false">$B$5-$B$6*ERFC($A23/(2*SQRT($B$7*G$12)))</f>
        <v>19.9575775954734</v>
      </c>
      <c r="H23" s="12" t="n">
        <f aca="false">$B$5-$B$6*ERFC($A23/(2*SQRT($B$7*H$12)))</f>
        <v>19.3128727990102</v>
      </c>
      <c r="I23" s="12" t="n">
        <f aca="false">$B$5-$B$6*ERFC($A23/(2*SQRT($B$7*I$12)))</f>
        <v>18.7784014082864</v>
      </c>
      <c r="J23" s="12" t="n">
        <f aca="false">$B$5-$B$6*ERFC($A23/(2*SQRT($B$7*J$12)))</f>
        <v>18.3261155860703</v>
      </c>
      <c r="K23" s="12" t="n">
        <f aca="false">$B$5-$B$6*ERFC($A23/(2*SQRT($B$7*K$12)))</f>
        <v>17.9369893931251</v>
      </c>
      <c r="L23" s="12" t="n">
        <f aca="false">$B$5-B23</f>
        <v>2.00356588452536</v>
      </c>
      <c r="M23" s="12" t="n">
        <f aca="false">$B$5-K23</f>
        <v>12.0630106068749</v>
      </c>
    </row>
    <row r="24" customFormat="false" ht="15" hidden="false" customHeight="false" outlineLevel="0" collapsed="false">
      <c r="A24" s="5" t="n">
        <v>110</v>
      </c>
      <c r="B24" s="12" t="n">
        <f aca="false">$B$5-$B$6*ERFC($A24/(2*SQRT($B$7*B$12)))</f>
        <v>28.5890799908627</v>
      </c>
      <c r="C24" s="12" t="n">
        <f aca="false">$B$5-$B$6*ERFC($A24/(2*SQRT($B$7*C$12)))</f>
        <v>25.9801148823384</v>
      </c>
      <c r="D24" s="12" t="n">
        <f aca="false">$B$5-$B$6*ERFC($A24/(2*SQRT($B$7*D$12)))</f>
        <v>24.070975026363</v>
      </c>
      <c r="E24" s="12" t="n">
        <f aca="false">$B$5-$B$6*ERFC($A24/(2*SQRT($B$7*E$12)))</f>
        <v>22.6821537381763</v>
      </c>
      <c r="F24" s="12" t="n">
        <f aca="false">$B$5-$B$6*ERFC($A24/(2*SQRT($B$7*F$12)))</f>
        <v>21.6266606471974</v>
      </c>
      <c r="G24" s="12" t="n">
        <f aca="false">$B$5-$B$6*ERFC($A24/(2*SQRT($B$7*G$12)))</f>
        <v>20.7930123208627</v>
      </c>
      <c r="H24" s="12" t="n">
        <f aca="false">$B$5-$B$6*ERFC($A24/(2*SQRT($B$7*H$12)))</f>
        <v>20.1142661787403</v>
      </c>
      <c r="I24" s="12" t="n">
        <f aca="false">$B$5-$B$6*ERFC($A24/(2*SQRT($B$7*I$12)))</f>
        <v>19.5482509002962</v>
      </c>
      <c r="J24" s="12" t="n">
        <f aca="false">$B$5-$B$6*ERFC($A24/(2*SQRT($B$7*J$12)))</f>
        <v>19.0671156544451</v>
      </c>
      <c r="K24" s="12" t="n">
        <f aca="false">$B$5-$B$6*ERFC($A24/(2*SQRT($B$7*K$12)))</f>
        <v>18.6517010293124</v>
      </c>
      <c r="L24" s="12" t="n">
        <f aca="false">$B$5-B24</f>
        <v>1.41092000913732</v>
      </c>
      <c r="M24" s="12" t="n">
        <f aca="false">$B$5-K24</f>
        <v>11.3482989706876</v>
      </c>
    </row>
    <row r="25" customFormat="false" ht="15" hidden="false" customHeight="false" outlineLevel="0" collapsed="false">
      <c r="A25" s="5" t="n">
        <v>120</v>
      </c>
      <c r="B25" s="12" t="n">
        <f aca="false">$B$5-$B$6*ERFC($A25/(2*SQRT($B$7*B$12)))</f>
        <v>29.029605234395</v>
      </c>
      <c r="C25" s="12" t="n">
        <f aca="false">$B$5-$B$6*ERFC($A25/(2*SQRT($B$7*C$12)))</f>
        <v>26.7395123138686</v>
      </c>
      <c r="D25" s="12" t="n">
        <f aca="false">$B$5-$B$6*ERFC($A25/(2*SQRT($B$7*D$12)))</f>
        <v>24.9058501181791</v>
      </c>
      <c r="E25" s="12" t="n">
        <f aca="false">$B$5-$B$6*ERFC($A25/(2*SQRT($B$7*E$12)))</f>
        <v>23.5212030880293</v>
      </c>
      <c r="F25" s="12" t="n">
        <f aca="false">$B$5-$B$6*ERFC($A25/(2*SQRT($B$7*F$12)))</f>
        <v>22.4472490287215</v>
      </c>
      <c r="G25" s="12" t="n">
        <f aca="false">$B$5-$B$6*ERFC($A25/(2*SQRT($B$7*G$12)))</f>
        <v>21.5880752480015</v>
      </c>
      <c r="H25" s="12" t="n">
        <f aca="false">$B$5-$B$6*ERFC($A25/(2*SQRT($B$7*H$12)))</f>
        <v>20.8823466882296</v>
      </c>
      <c r="I25" s="12" t="n">
        <f aca="false">$B$5-$B$6*ERFC($A25/(2*SQRT($B$7*I$12)))</f>
        <v>20.2900239471144</v>
      </c>
      <c r="J25" s="12" t="n">
        <f aca="false">$B$5-$B$6*ERFC($A25/(2*SQRT($B$7*J$12)))</f>
        <v>19.7840440365221</v>
      </c>
      <c r="K25" s="12" t="n">
        <f aca="false">$B$5-$B$6*ERFC($A25/(2*SQRT($B$7*K$12)))</f>
        <v>19.3454818711435</v>
      </c>
      <c r="L25" s="12" t="n">
        <f aca="false">$B$5-B25</f>
        <v>0.970394765605015</v>
      </c>
      <c r="M25" s="12" t="n">
        <f aca="false">$B$5-K25</f>
        <v>10.6545181288565</v>
      </c>
    </row>
    <row r="26" customFormat="false" ht="15" hidden="false" customHeight="false" outlineLevel="0" collapsed="false">
      <c r="A26" s="5" t="n">
        <v>130</v>
      </c>
      <c r="B26" s="12" t="n">
        <f aca="false">$B$5-$B$6*ERFC($A26/(2*SQRT($B$7*B$12)))</f>
        <v>29.3483440322877</v>
      </c>
      <c r="C26" s="12" t="n">
        <f aca="false">$B$5-$B$6*ERFC($A26/(2*SQRT($B$7*C$12)))</f>
        <v>27.385348284542</v>
      </c>
      <c r="D26" s="12" t="n">
        <f aca="false">$B$5-$B$6*ERFC($A26/(2*SQRT($B$7*D$12)))</f>
        <v>25.6552368169027</v>
      </c>
      <c r="E26" s="12" t="n">
        <f aca="false">$B$5-$B$6*ERFC($A26/(2*SQRT($B$7*E$12)))</f>
        <v>24.294941681475</v>
      </c>
      <c r="F26" s="12" t="n">
        <f aca="false">$B$5-$B$6*ERFC($A26/(2*SQRT($B$7*F$12)))</f>
        <v>23.2163220857431</v>
      </c>
      <c r="G26" s="12" t="n">
        <f aca="false">$B$5-$B$6*ERFC($A26/(2*SQRT($B$7*G$12)))</f>
        <v>22.3413179562876</v>
      </c>
      <c r="H26" s="12" t="n">
        <f aca="false">$B$5-$B$6*ERFC($A26/(2*SQRT($B$7*H$12)))</f>
        <v>21.6156632031998</v>
      </c>
      <c r="I26" s="12" t="n">
        <f aca="false">$B$5-$B$6*ERFC($A26/(2*SQRT($B$7*I$12)))</f>
        <v>21.0023346529754</v>
      </c>
      <c r="J26" s="12" t="n">
        <f aca="false">$B$5-$B$6*ERFC($A26/(2*SQRT($B$7*J$12)))</f>
        <v>20.4756033558474</v>
      </c>
      <c r="K26" s="12" t="n">
        <f aca="false">$B$5-$B$6*ERFC($A26/(2*SQRT($B$7*K$12)))</f>
        <v>20.0171275864601</v>
      </c>
      <c r="L26" s="12" t="n">
        <f aca="false">$B$5-B26</f>
        <v>0.651655967712255</v>
      </c>
      <c r="M26" s="12" t="n">
        <f aca="false">$B$5-K26</f>
        <v>9.98287241353989</v>
      </c>
    </row>
    <row r="27" customFormat="false" ht="15" hidden="false" customHeight="false" outlineLevel="0" collapsed="false">
      <c r="A27" s="5" t="n">
        <v>140</v>
      </c>
      <c r="B27" s="12" t="n">
        <f aca="false">$B$5-$B$6*ERFC($A27/(2*SQRT($B$7*B$12)))</f>
        <v>29.5728291913233</v>
      </c>
      <c r="C27" s="12" t="n">
        <f aca="false">$B$5-$B$6*ERFC($A27/(2*SQRT($B$7*C$12)))</f>
        <v>27.9272407197208</v>
      </c>
      <c r="D27" s="12" t="n">
        <f aca="false">$B$5-$B$6*ERFC($A27/(2*SQRT($B$7*D$12)))</f>
        <v>26.3218606371012</v>
      </c>
      <c r="E27" s="12" t="n">
        <f aca="false">$B$5-$B$6*ERFC($A27/(2*SQRT($B$7*E$12)))</f>
        <v>25.003651163281</v>
      </c>
      <c r="F27" s="12" t="n">
        <f aca="false">$B$5-$B$6*ERFC($A27/(2*SQRT($B$7*F$12)))</f>
        <v>23.9332299583933</v>
      </c>
      <c r="G27" s="12" t="n">
        <f aca="false">$B$5-$B$6*ERFC($A27/(2*SQRT($B$7*G$12)))</f>
        <v>23.0517340997947</v>
      </c>
      <c r="H27" s="12" t="n">
        <f aca="false">$B$5-$B$6*ERFC($A27/(2*SQRT($B$7*H$12)))</f>
        <v>22.3130920613176</v>
      </c>
      <c r="I27" s="12" t="n">
        <f aca="false">$B$5-$B$6*ERFC($A27/(2*SQRT($B$7*I$12)))</f>
        <v>21.6840469007414</v>
      </c>
      <c r="J27" s="12" t="n">
        <f aca="false">$B$5-$B$6*ERFC($A27/(2*SQRT($B$7*J$12)))</f>
        <v>21.1406915537193</v>
      </c>
      <c r="K27" s="12" t="n">
        <f aca="false">$B$5-$B$6*ERFC($A27/(2*SQRT($B$7*K$12)))</f>
        <v>20.6655898226163</v>
      </c>
      <c r="L27" s="12" t="n">
        <f aca="false">$B$5-B27</f>
        <v>0.427170808676692</v>
      </c>
      <c r="M27" s="12" t="n">
        <f aca="false">$B$5-K27</f>
        <v>9.33441017738366</v>
      </c>
    </row>
    <row r="28" customFormat="false" ht="15" hidden="false" customHeight="false" outlineLevel="0" collapsed="false">
      <c r="A28" s="5" t="n">
        <v>150</v>
      </c>
      <c r="B28" s="12" t="n">
        <f aca="false">$B$5-$B$6*ERFC($A28/(2*SQRT($B$7*B$12)))</f>
        <v>29.7267257426364</v>
      </c>
      <c r="C28" s="12" t="n">
        <f aca="false">$B$5-$B$6*ERFC($A28/(2*SQRT($B$7*C$12)))</f>
        <v>28.375822569436</v>
      </c>
      <c r="D28" s="12" t="n">
        <f aca="false">$B$5-$B$6*ERFC($A28/(2*SQRT($B$7*D$12)))</f>
        <v>26.9095475874307</v>
      </c>
      <c r="E28" s="12" t="n">
        <f aca="false">$B$5-$B$6*ERFC($A28/(2*SQRT($B$7*E$12)))</f>
        <v>25.6484280423756</v>
      </c>
      <c r="F28" s="12" t="n">
        <f aca="false">$B$5-$B$6*ERFC($A28/(2*SQRT($B$7*F$12)))</f>
        <v>24.5979099740484</v>
      </c>
      <c r="G28" s="12" t="n">
        <f aca="false">$B$5-$B$6*ERFC($A28/(2*SQRT($B$7*G$12)))</f>
        <v>23.7187484232191</v>
      </c>
      <c r="H28" s="12" t="n">
        <f aca="false">$B$5-$B$6*ERFC($A28/(2*SQRT($B$7*H$12)))</f>
        <v>22.9738343267876</v>
      </c>
      <c r="I28" s="12" t="n">
        <f aca="false">$B$5-$B$6*ERFC($A28/(2*SQRT($B$7*I$12)))</f>
        <v>22.3342752846901</v>
      </c>
      <c r="J28" s="12" t="n">
        <f aca="false">$B$5-$B$6*ERFC($A28/(2*SQRT($B$7*J$12)))</f>
        <v>21.7784044255337</v>
      </c>
      <c r="K28" s="12" t="n">
        <f aca="false">$B$5-$B$6*ERFC($A28/(2*SQRT($B$7*K$12)))</f>
        <v>21.2899793727716</v>
      </c>
      <c r="L28" s="12" t="n">
        <f aca="false">$B$5-B28</f>
        <v>0.273274257363624</v>
      </c>
      <c r="M28" s="12" t="n">
        <f aca="false">$B$5-K28</f>
        <v>8.71002062722842</v>
      </c>
    </row>
    <row r="29" customFormat="false" ht="15" hidden="false" customHeight="false" outlineLevel="0" collapsed="false">
      <c r="A29" s="5" t="n">
        <v>160</v>
      </c>
      <c r="B29" s="12" t="n">
        <f aca="false">$B$5-$B$6*ERFC($A29/(2*SQRT($B$7*B$12)))</f>
        <v>29.829422956919</v>
      </c>
      <c r="C29" s="12" t="n">
        <f aca="false">$B$5-$B$6*ERFC($A29/(2*SQRT($B$7*C$12)))</f>
        <v>28.7421825738513</v>
      </c>
      <c r="D29" s="12" t="n">
        <f aca="false">$B$5-$B$6*ERFC($A29/(2*SQRT($B$7*D$12)))</f>
        <v>27.4230017009083</v>
      </c>
      <c r="E29" s="12" t="n">
        <f aca="false">$B$5-$B$6*ERFC($A29/(2*SQRT($B$7*E$12)))</f>
        <v>26.2310916551459</v>
      </c>
      <c r="F29" s="12" t="n">
        <f aca="false">$B$5-$B$6*ERFC($A29/(2*SQRT($B$7*F$12)))</f>
        <v>25.2108463729548</v>
      </c>
      <c r="G29" s="12" t="n">
        <f aca="false">$B$5-$B$6*ERFC($A29/(2*SQRT($B$7*G$12)))</f>
        <v>24.3421988849066</v>
      </c>
      <c r="H29" s="12" t="n">
        <f aca="false">$B$5-$B$6*ERFC($A29/(2*SQRT($B$7*H$12)))</f>
        <v>23.5974083128474</v>
      </c>
      <c r="I29" s="12" t="n">
        <f aca="false">$B$5-$B$6*ERFC($A29/(2*SQRT($B$7*I$12)))</f>
        <v>22.9523826978183</v>
      </c>
      <c r="J29" s="12" t="n">
        <f aca="false">$B$5-$B$6*ERFC($A29/(2*SQRT($B$7*J$12)))</f>
        <v>22.3880357350724</v>
      </c>
      <c r="K29" s="12" t="n">
        <f aca="false">$B$5-$B$6*ERFC($A29/(2*SQRT($B$7*K$12)))</f>
        <v>21.8895675461342</v>
      </c>
      <c r="L29" s="12" t="n">
        <f aca="false">$B$5-B29</f>
        <v>0.170577043081039</v>
      </c>
      <c r="M29" s="12" t="n">
        <f aca="false">$B$5-K29</f>
        <v>8.11043245386577</v>
      </c>
    </row>
    <row r="30" customFormat="false" ht="15" hidden="false" customHeight="false" outlineLevel="0" collapsed="false">
      <c r="A30" s="5" t="n">
        <v>170</v>
      </c>
      <c r="B30" s="12" t="n">
        <f aca="false">$B$5-$B$6*ERFC($A30/(2*SQRT($B$7*B$12)))</f>
        <v>29.8961308052385</v>
      </c>
      <c r="C30" s="12" t="n">
        <f aca="false">$B$5-$B$6*ERFC($A30/(2*SQRT($B$7*C$12)))</f>
        <v>29.0373797243788</v>
      </c>
      <c r="D30" s="12" t="n">
        <f aca="false">$B$5-$B$6*ERFC($A30/(2*SQRT($B$7*D$12)))</f>
        <v>27.8675793228665</v>
      </c>
      <c r="E30" s="12" t="n">
        <f aca="false">$B$5-$B$6*ERFC($A30/(2*SQRT($B$7*E$12)))</f>
        <v>26.7540818752606</v>
      </c>
      <c r="F30" s="12" t="n">
        <f aca="false">$B$5-$B$6*ERFC($A30/(2*SQRT($B$7*F$12)))</f>
        <v>25.7730216242025</v>
      </c>
      <c r="G30" s="12" t="n">
        <f aca="false">$B$5-$B$6*ERFC($A30/(2*SQRT($B$7*G$12)))</f>
        <v>24.9223126816533</v>
      </c>
      <c r="H30" s="12" t="n">
        <f aca="false">$B$5-$B$6*ERFC($A30/(2*SQRT($B$7*H$12)))</f>
        <v>24.1836377426773</v>
      </c>
      <c r="I30" s="12" t="n">
        <f aca="false">$B$5-$B$6*ERFC($A30/(2*SQRT($B$7*I$12)))</f>
        <v>23.5379747622718</v>
      </c>
      <c r="J30" s="12" t="n">
        <f aca="false">$B$5-$B$6*ERFC($A30/(2*SQRT($B$7*J$12)))</f>
        <v>22.9690750011432</v>
      </c>
      <c r="K30" s="12" t="n">
        <f aca="false">$B$5-$B$6*ERFC($A30/(2*SQRT($B$7*K$12)))</f>
        <v>22.4637857882872</v>
      </c>
      <c r="L30" s="12" t="n">
        <f aca="false">$B$5-B30</f>
        <v>0.103869194761494</v>
      </c>
      <c r="M30" s="12" t="n">
        <f aca="false">$B$5-K30</f>
        <v>7.53621421171283</v>
      </c>
    </row>
    <row r="31" customFormat="false" ht="15" hidden="false" customHeight="false" outlineLevel="0" collapsed="false">
      <c r="A31" s="5" t="n">
        <v>180</v>
      </c>
      <c r="B31" s="12" t="n">
        <f aca="false">$B$5-$B$6*ERFC($A31/(2*SQRT($B$7*B$12)))</f>
        <v>29.9383085802009</v>
      </c>
      <c r="C31" s="12" t="n">
        <f aca="false">$B$5-$B$6*ERFC($A31/(2*SQRT($B$7*C$12)))</f>
        <v>29.2720477999267</v>
      </c>
      <c r="D31" s="12" t="n">
        <f aca="false">$B$5-$B$6*ERFC($A31/(2*SQRT($B$7*D$12)))</f>
        <v>28.2490700005714</v>
      </c>
      <c r="E31" s="12" t="n">
        <f aca="false">$B$5-$B$6*ERFC($A31/(2*SQRT($B$7*E$12)))</f>
        <v>27.2203507941363</v>
      </c>
      <c r="F31" s="12" t="n">
        <f aca="false">$B$5-$B$6*ERFC($A31/(2*SQRT($B$7*F$12)))</f>
        <v>26.2858612232271</v>
      </c>
      <c r="G31" s="12" t="n">
        <f aca="false">$B$5-$B$6*ERFC($A31/(2*SQRT($B$7*G$12)))</f>
        <v>25.4596770804373</v>
      </c>
      <c r="H31" s="12" t="n">
        <f aca="false">$B$5-$B$6*ERFC($A31/(2*SQRT($B$7*H$12)))</f>
        <v>24.7326360071813</v>
      </c>
      <c r="I31" s="12" t="n">
        <f aca="false">$B$5-$B$6*ERFC($A31/(2*SQRT($B$7*I$12)))</f>
        <v>24.0908913450815</v>
      </c>
      <c r="J31" s="12" t="n">
        <f aca="false">$B$5-$B$6*ERFC($A31/(2*SQRT($B$7*J$12)))</f>
        <v>23.5212030880293</v>
      </c>
      <c r="K31" s="12" t="n">
        <f aca="false">$B$5-$B$6*ERFC($A31/(2*SQRT($B$7*K$12)))</f>
        <v>23.0122236237754</v>
      </c>
      <c r="L31" s="12" t="n">
        <f aca="false">$B$5-B31</f>
        <v>0.0616914197991321</v>
      </c>
      <c r="M31" s="12" t="n">
        <f aca="false">$B$5-K31</f>
        <v>6.98777637622459</v>
      </c>
    </row>
    <row r="32" customFormat="false" ht="15" hidden="false" customHeight="false" outlineLevel="0" collapsed="false">
      <c r="A32" s="5" t="n">
        <v>190</v>
      </c>
      <c r="B32" s="12" t="n">
        <f aca="false">$B$5-$B$6*ERFC($A32/(2*SQRT($B$7*B$12)))</f>
        <v>29.9642670345326</v>
      </c>
      <c r="C32" s="12" t="n">
        <f aca="false">$B$5-$B$6*ERFC($A32/(2*SQRT($B$7*C$12)))</f>
        <v>29.4560968608619</v>
      </c>
      <c r="D32" s="12" t="n">
        <f aca="false">$B$5-$B$6*ERFC($A32/(2*SQRT($B$7*D$12)))</f>
        <v>28.573492249859</v>
      </c>
      <c r="E32" s="12" t="n">
        <f aca="false">$B$5-$B$6*ERFC($A32/(2*SQRT($B$7*E$12)))</f>
        <v>27.6332524212298</v>
      </c>
      <c r="F32" s="12" t="n">
        <f aca="false">$B$5-$B$6*ERFC($A32/(2*SQRT($B$7*F$12)))</f>
        <v>26.751173917</v>
      </c>
      <c r="G32" s="12" t="n">
        <f aca="false">$B$5-$B$6*ERFC($A32/(2*SQRT($B$7*G$12)))</f>
        <v>25.955206038267</v>
      </c>
      <c r="H32" s="12" t="n">
        <f aca="false">$B$5-$B$6*ERFC($A32/(2*SQRT($B$7*H$12)))</f>
        <v>25.2447870398187</v>
      </c>
      <c r="I32" s="12" t="n">
        <f aca="false">$B$5-$B$6*ERFC($A32/(2*SQRT($B$7*I$12)))</f>
        <v>24.6111954468231</v>
      </c>
      <c r="J32" s="12" t="n">
        <f aca="false">$B$5-$B$6*ERFC($A32/(2*SQRT($B$7*J$12)))</f>
        <v>24.0442857639854</v>
      </c>
      <c r="K32" s="12" t="n">
        <f aca="false">$B$5-$B$6*ERFC($A32/(2*SQRT($B$7*K$12)))</f>
        <v>23.5346250168525</v>
      </c>
      <c r="L32" s="12" t="n">
        <f aca="false">$B$5-B32</f>
        <v>0.0357329654673784</v>
      </c>
      <c r="M32" s="12" t="n">
        <f aca="false">$B$5-K32</f>
        <v>6.46537498314751</v>
      </c>
    </row>
    <row r="33" customFormat="false" ht="15" hidden="false" customHeight="false" outlineLevel="0" collapsed="false">
      <c r="A33" s="5" t="n">
        <v>200</v>
      </c>
      <c r="B33" s="12" t="n">
        <f aca="false">$B$5-$B$6*ERFC($A33/(2*SQRT($B$7*B$12)))</f>
        <v>29.9798181802381</v>
      </c>
      <c r="C33" s="12" t="n">
        <f aca="false">$B$5-$B$6*ERFC($A33/(2*SQRT($B$7*C$12)))</f>
        <v>29.5985102891198</v>
      </c>
      <c r="D33" s="12" t="n">
        <f aca="false">$B$5-$B$6*ERFC($A33/(2*SQRT($B$7*D$12)))</f>
        <v>28.8469106273296</v>
      </c>
      <c r="E33" s="12" t="n">
        <f aca="false">$B$5-$B$6*ERFC($A33/(2*SQRT($B$7*E$12)))</f>
        <v>27.9964341154746</v>
      </c>
      <c r="F33" s="12" t="n">
        <f aca="false">$B$5-$B$6*ERFC($A33/(2*SQRT($B$7*F$12)))</f>
        <v>27.1710892834935</v>
      </c>
      <c r="G33" s="12" t="n">
        <f aca="false">$B$5-$B$6*ERFC($A33/(2*SQRT($B$7*G$12)))</f>
        <v>26.4101036325394</v>
      </c>
      <c r="H33" s="12" t="n">
        <f aca="false">$B$5-$B$6*ERFC($A33/(2*SQRT($B$7*H$12)))</f>
        <v>25.7207233732313</v>
      </c>
      <c r="I33" s="12" t="n">
        <f aca="false">$B$5-$B$6*ERFC($A33/(2*SQRT($B$7*I$12)))</f>
        <v>25.0991597873523</v>
      </c>
      <c r="J33" s="12" t="n">
        <f aca="false">$B$5-$B$6*ERFC($A33/(2*SQRT($B$7*J$12)))</f>
        <v>24.5383654199471</v>
      </c>
      <c r="K33" s="12" t="n">
        <f aca="false">$B$5-$B$6*ERFC($A33/(2*SQRT($B$7*K$12)))</f>
        <v>24.0308832672569</v>
      </c>
      <c r="L33" s="12" t="n">
        <f aca="false">$B$5-B33</f>
        <v>0.0201818197619197</v>
      </c>
      <c r="M33" s="12" t="n">
        <f aca="false">$B$5-K33</f>
        <v>5.96911673274314</v>
      </c>
    </row>
    <row r="34" customFormat="false" ht="15" hidden="false" customHeight="false" outlineLevel="0" collapsed="false">
      <c r="A34" s="5" t="n">
        <v>210</v>
      </c>
      <c r="B34" s="12" t="n">
        <f aca="false">$B$5-$B$6*ERFC($A34/(2*SQRT($B$7*B$12)))</f>
        <v>29.988886656344</v>
      </c>
      <c r="C34" s="12" t="n">
        <f aca="false">$B$5-$B$6*ERFC($A34/(2*SQRT($B$7*C$12)))</f>
        <v>29.7072294308518</v>
      </c>
      <c r="D34" s="12" t="n">
        <f aca="false">$B$5-$B$6*ERFC($A34/(2*SQRT($B$7*D$12)))</f>
        <v>29.0752785711251</v>
      </c>
      <c r="E34" s="12" t="n">
        <f aca="false">$B$5-$B$6*ERFC($A34/(2*SQRT($B$7*E$12)))</f>
        <v>28.3137329921533</v>
      </c>
      <c r="F34" s="12" t="n">
        <f aca="false">$B$5-$B$6*ERFC($A34/(2*SQRT($B$7*F$12)))</f>
        <v>27.5479945048497</v>
      </c>
      <c r="G34" s="12" t="n">
        <f aca="false">$B$5-$B$6*ERFC($A34/(2*SQRT($B$7*G$12)))</f>
        <v>26.8258253316842</v>
      </c>
      <c r="H34" s="12" t="n">
        <f aca="false">$B$5-$B$6*ERFC($A34/(2*SQRT($B$7*H$12)))</f>
        <v>26.1613019695268</v>
      </c>
      <c r="I34" s="12" t="n">
        <f aca="false">$B$5-$B$6*ERFC($A34/(2*SQRT($B$7*I$12)))</f>
        <v>25.5552514398969</v>
      </c>
      <c r="J34" s="12" t="n">
        <f aca="false">$B$5-$B$6*ERFC($A34/(2*SQRT($B$7*J$12)))</f>
        <v>25.003651163281</v>
      </c>
      <c r="K34" s="12" t="n">
        <f aca="false">$B$5-$B$6*ERFC($A34/(2*SQRT($B$7*K$12)))</f>
        <v>24.5010345757956</v>
      </c>
      <c r="L34" s="12" t="n">
        <f aca="false">$B$5-B34</f>
        <v>0.0111133436560031</v>
      </c>
      <c r="M34" s="12" t="n">
        <f aca="false">$B$5-K34</f>
        <v>5.49896542420443</v>
      </c>
    </row>
    <row r="35" customFormat="false" ht="15" hidden="false" customHeight="false" outlineLevel="0" collapsed="false">
      <c r="A35" s="5" t="n">
        <v>220</v>
      </c>
      <c r="B35" s="12" t="n">
        <f aca="false">$B$5-$B$6*ERFC($A35/(2*SQRT($B$7*B$12)))</f>
        <v>29.9940341350572</v>
      </c>
      <c r="C35" s="12" t="n">
        <f aca="false">$B$5-$B$6*ERFC($A35/(2*SQRT($B$7*C$12)))</f>
        <v>29.7891133886605</v>
      </c>
      <c r="D35" s="12" t="n">
        <f aca="false">$B$5-$B$6*ERFC($A35/(2*SQRT($B$7*D$12)))</f>
        <v>29.2643095354845</v>
      </c>
      <c r="E35" s="12" t="n">
        <f aca="false">$B$5-$B$6*ERFC($A35/(2*SQRT($B$7*E$12)))</f>
        <v>28.5890799908627</v>
      </c>
      <c r="F35" s="12" t="n">
        <f aca="false">$B$5-$B$6*ERFC($A35/(2*SQRT($B$7*F$12)))</f>
        <v>27.8844720284191</v>
      </c>
      <c r="G35" s="12" t="n">
        <f aca="false">$B$5-$B$6*ERFC($A35/(2*SQRT($B$7*G$12)))</f>
        <v>27.2040381116493</v>
      </c>
      <c r="H35" s="12" t="n">
        <f aca="false">$B$5-$B$6*ERFC($A35/(2*SQRT($B$7*H$12)))</f>
        <v>26.5675784260266</v>
      </c>
      <c r="I35" s="12" t="n">
        <f aca="false">$B$5-$B$6*ERFC($A35/(2*SQRT($B$7*I$12)))</f>
        <v>25.9801148823384</v>
      </c>
      <c r="J35" s="12" t="n">
        <f aca="false">$B$5-$B$6*ERFC($A35/(2*SQRT($B$7*J$12)))</f>
        <v>25.4405075185189</v>
      </c>
      <c r="K35" s="12" t="n">
        <f aca="false">$B$5-$B$6*ERFC($A35/(2*SQRT($B$7*K$12)))</f>
        <v>24.9452504291118</v>
      </c>
      <c r="L35" s="12" t="n">
        <f aca="false">$B$5-B35</f>
        <v>0.00596586494284068</v>
      </c>
      <c r="M35" s="12" t="n">
        <f aca="false">$B$5-K35</f>
        <v>5.05474957088816</v>
      </c>
    </row>
    <row r="36" customFormat="false" ht="15" hidden="false" customHeight="false" outlineLevel="0" collapsed="false">
      <c r="A36" s="5" t="n">
        <v>230</v>
      </c>
      <c r="B36" s="12" t="n">
        <f aca="false">$B$5-$B$6*ERFC($A36/(2*SQRT($B$7*B$12)))</f>
        <v>29.9968782234498</v>
      </c>
      <c r="C36" s="12" t="n">
        <f aca="false">$B$5-$B$6*ERFC($A36/(2*SQRT($B$7*C$12)))</f>
        <v>29.8499590156068</v>
      </c>
      <c r="D36" s="12" t="n">
        <f aca="false">$B$5-$B$6*ERFC($A36/(2*SQRT($B$7*D$12)))</f>
        <v>29.4193771572915</v>
      </c>
      <c r="E36" s="12" t="n">
        <f aca="false">$B$5-$B$6*ERFC($A36/(2*SQRT($B$7*E$12)))</f>
        <v>28.8264136785955</v>
      </c>
      <c r="F36" s="12" t="n">
        <f aca="false">$B$5-$B$6*ERFC($A36/(2*SQRT($B$7*F$12)))</f>
        <v>28.1832396177702</v>
      </c>
      <c r="G36" s="12" t="n">
        <f aca="false">$B$5-$B$6*ERFC($A36/(2*SQRT($B$7*G$12)))</f>
        <v>27.5465803712531</v>
      </c>
      <c r="H36" s="12" t="n">
        <f aca="false">$B$5-$B$6*ERFC($A36/(2*SQRT($B$7*H$12)))</f>
        <v>26.9407801519462</v>
      </c>
      <c r="I36" s="12" t="n">
        <f aca="false">$B$5-$B$6*ERFC($A36/(2*SQRT($B$7*I$12)))</f>
        <v>26.3745538425801</v>
      </c>
      <c r="J36" s="12" t="n">
        <f aca="false">$B$5-$B$6*ERFC($A36/(2*SQRT($B$7*J$12)))</f>
        <v>25.8494419784912</v>
      </c>
      <c r="K36" s="12" t="n">
        <f aca="false">$B$5-$B$6*ERFC($A36/(2*SQRT($B$7*K$12)))</f>
        <v>25.3638289641545</v>
      </c>
      <c r="L36" s="12" t="n">
        <f aca="false">$B$5-B36</f>
        <v>0.00312177655019141</v>
      </c>
      <c r="M36" s="12" t="n">
        <f aca="false">$B$5-K36</f>
        <v>4.63617103584546</v>
      </c>
    </row>
    <row r="37" customFormat="false" ht="15" hidden="false" customHeight="false" outlineLevel="0" collapsed="false">
      <c r="A37" s="5" t="n">
        <v>240</v>
      </c>
      <c r="B37" s="12" t="n">
        <f aca="false">$B$5-$B$6*ERFC($A37/(2*SQRT($B$7*B$12)))</f>
        <v>29.9984078304538</v>
      </c>
      <c r="C37" s="12" t="n">
        <f aca="false">$B$5-$B$6*ERFC($A37/(2*SQRT($B$7*C$12)))</f>
        <v>29.8945654640572</v>
      </c>
      <c r="D37" s="12" t="n">
        <f aca="false">$B$5-$B$6*ERFC($A37/(2*SQRT($B$7*D$12)))</f>
        <v>29.5454436499657</v>
      </c>
      <c r="E37" s="12" t="n">
        <f aca="false">$B$5-$B$6*ERFC($A37/(2*SQRT($B$7*E$12)))</f>
        <v>29.029605234395</v>
      </c>
      <c r="F37" s="12" t="n">
        <f aca="false">$B$5-$B$6*ERFC($A37/(2*SQRT($B$7*F$12)))</f>
        <v>28.4470940692905</v>
      </c>
      <c r="G37" s="12" t="n">
        <f aca="false">$B$5-$B$6*ERFC($A37/(2*SQRT($B$7*G$12)))</f>
        <v>27.8554225227011</v>
      </c>
      <c r="H37" s="12" t="n">
        <f aca="false">$B$5-$B$6*ERFC($A37/(2*SQRT($B$7*H$12)))</f>
        <v>27.2822790901523</v>
      </c>
      <c r="I37" s="12" t="n">
        <f aca="false">$B$5-$B$6*ERFC($A37/(2*SQRT($B$7*I$12)))</f>
        <v>26.7395123138686</v>
      </c>
      <c r="J37" s="12" t="n">
        <f aca="false">$B$5-$B$6*ERFC($A37/(2*SQRT($B$7*J$12)))</f>
        <v>26.2310916551459</v>
      </c>
      <c r="K37" s="12" t="n">
        <f aca="false">$B$5-$B$6*ERFC($A37/(2*SQRT($B$7*K$12)))</f>
        <v>25.7571854804902</v>
      </c>
      <c r="L37" s="12" t="n">
        <f aca="false">$B$5-B37</f>
        <v>0.0015921695461607</v>
      </c>
      <c r="M37" s="12" t="n">
        <f aca="false">$B$5-K37</f>
        <v>4.24281451950979</v>
      </c>
    </row>
    <row r="38" customFormat="false" ht="15" hidden="false" customHeight="false" outlineLevel="0" collapsed="false">
      <c r="A38" s="5" t="n">
        <v>250</v>
      </c>
      <c r="B38" s="12" t="n">
        <f aca="false">$B$5-$B$6*ERFC($A38/(2*SQRT($B$7*B$12)))</f>
        <v>29.9992085950015</v>
      </c>
      <c r="C38" s="12" t="n">
        <f aca="false">$B$5-$B$6*ERFC($A38/(2*SQRT($B$7*C$12)))</f>
        <v>29.9268283825289</v>
      </c>
      <c r="D38" s="12" t="n">
        <f aca="false">$B$5-$B$6*ERFC($A38/(2*SQRT($B$7*D$12)))</f>
        <v>29.6470143817487</v>
      </c>
      <c r="E38" s="12" t="n">
        <f aca="false">$B$5-$B$6*ERFC($A38/(2*SQRT($B$7*E$12)))</f>
        <v>29.2023954519766</v>
      </c>
      <c r="F38" s="12" t="n">
        <f aca="false">$B$5-$B$6*ERFC($A38/(2*SQRT($B$7*F$12)))</f>
        <v>28.6788596218231</v>
      </c>
      <c r="G38" s="12" t="n">
        <f aca="false">$B$5-$B$6*ERFC($A38/(2*SQRT($B$7*G$12)))</f>
        <v>28.1326290373493</v>
      </c>
      <c r="H38" s="12" t="n">
        <f aca="false">$B$5-$B$6*ERFC($A38/(2*SQRT($B$7*H$12)))</f>
        <v>27.5935645236102</v>
      </c>
      <c r="I38" s="12" t="n">
        <f aca="false">$B$5-$B$6*ERFC($A38/(2*SQRT($B$7*I$12)))</f>
        <v>27.076055106421</v>
      </c>
      <c r="J38" s="12" t="n">
        <f aca="false">$B$5-$B$6*ERFC($A38/(2*SQRT($B$7*J$12)))</f>
        <v>26.5862092797929</v>
      </c>
      <c r="K38" s="12" t="n">
        <f aca="false">$B$5-$B$6*ERFC($A38/(2*SQRT($B$7*K$12)))</f>
        <v>26.1258422727277</v>
      </c>
      <c r="L38" s="12" t="n">
        <f aca="false">$B$5-B38</f>
        <v>0.000791404998469858</v>
      </c>
      <c r="M38" s="12" t="n">
        <f aca="false">$B$5-K38</f>
        <v>3.87415772727232</v>
      </c>
    </row>
    <row r="39" customFormat="false" ht="15" hidden="false" customHeight="false" outlineLevel="0" collapsed="false">
      <c r="A39" s="5" t="n">
        <v>260</v>
      </c>
      <c r="B39" s="12" t="n">
        <f aca="false">$B$5-$B$6*ERFC($A39/(2*SQRT($B$7*B$12)))</f>
        <v>29.9996166493089</v>
      </c>
      <c r="C39" s="12" t="n">
        <f aca="false">$B$5-$B$6*ERFC($A39/(2*SQRT($B$7*C$12)))</f>
        <v>29.9498506121293</v>
      </c>
      <c r="D39" s="12" t="n">
        <f aca="false">$B$5-$B$6*ERFC($A39/(2*SQRT($B$7*D$12)))</f>
        <v>29.728115689806</v>
      </c>
      <c r="E39" s="12" t="n">
        <f aca="false">$B$5-$B$6*ERFC($A39/(2*SQRT($B$7*E$12)))</f>
        <v>29.3483440322877</v>
      </c>
      <c r="F39" s="12" t="n">
        <f aca="false">$B$5-$B$6*ERFC($A39/(2*SQRT($B$7*F$12)))</f>
        <v>28.8813418292953</v>
      </c>
      <c r="G39" s="12" t="n">
        <f aca="false">$B$5-$B$6*ERFC($A39/(2*SQRT($B$7*G$12)))</f>
        <v>28.3803226161251</v>
      </c>
      <c r="H39" s="12" t="n">
        <f aca="false">$B$5-$B$6*ERFC($A39/(2*SQRT($B$7*H$12)))</f>
        <v>27.8762164604054</v>
      </c>
      <c r="I39" s="12" t="n">
        <f aca="false">$B$5-$B$6*ERFC($A39/(2*SQRT($B$7*I$12)))</f>
        <v>27.385348284542</v>
      </c>
      <c r="J39" s="12" t="n">
        <f aca="false">$B$5-$B$6*ERFC($A39/(2*SQRT($B$7*J$12)))</f>
        <v>26.9156487978837</v>
      </c>
      <c r="K39" s="12" t="n">
        <f aca="false">$B$5-$B$6*ERFC($A39/(2*SQRT($B$7*K$12)))</f>
        <v>26.4704179560665</v>
      </c>
      <c r="L39" s="12" t="n">
        <f aca="false">$B$5-B39</f>
        <v>0.000383350691134154</v>
      </c>
      <c r="M39" s="12" t="n">
        <f aca="false">$B$5-K39</f>
        <v>3.52958204393355</v>
      </c>
    </row>
    <row r="40" customFormat="false" ht="15" hidden="false" customHeight="false" outlineLevel="0" collapsed="false">
      <c r="A40" s="5" t="n">
        <v>270</v>
      </c>
      <c r="B40" s="12" t="n">
        <f aca="false">$B$5-$B$6*ERFC($A40/(2*SQRT($B$7*B$12)))</f>
        <v>29.9998190533619</v>
      </c>
      <c r="C40" s="12" t="n">
        <f aca="false">$B$5-$B$6*ERFC($A40/(2*SQRT($B$7*C$12)))</f>
        <v>29.9660585899482</v>
      </c>
      <c r="D40" s="12" t="n">
        <f aca="false">$B$5-$B$6*ERFC($A40/(2*SQRT($B$7*D$12)))</f>
        <v>29.792292407611</v>
      </c>
      <c r="E40" s="12" t="n">
        <f aca="false">$B$5-$B$6*ERFC($A40/(2*SQRT($B$7*E$12)))</f>
        <v>29.4707909409946</v>
      </c>
      <c r="F40" s="12" t="n">
        <f aca="false">$B$5-$B$6*ERFC($A40/(2*SQRT($B$7*F$12)))</f>
        <v>29.0572874109578</v>
      </c>
      <c r="G40" s="12" t="n">
        <f aca="false">$B$5-$B$6*ERFC($A40/(2*SQRT($B$7*G$12)))</f>
        <v>28.6006510340311</v>
      </c>
      <c r="H40" s="12" t="n">
        <f aca="false">$B$5-$B$6*ERFC($A40/(2*SQRT($B$7*H$12)))</f>
        <v>28.1318800365834</v>
      </c>
      <c r="I40" s="12" t="n">
        <f aca="false">$B$5-$B$6*ERFC($A40/(2*SQRT($B$7*I$12)))</f>
        <v>27.6686398145838</v>
      </c>
      <c r="J40" s="12" t="n">
        <f aca="false">$B$5-$B$6*ERFC($A40/(2*SQRT($B$7*J$12)))</f>
        <v>27.2203507941363</v>
      </c>
      <c r="K40" s="12" t="n">
        <f aca="false">$B$5-$B$6*ERFC($A40/(2*SQRT($B$7*K$12)))</f>
        <v>26.7916164555135</v>
      </c>
      <c r="L40" s="12" t="n">
        <f aca="false">$B$5-B40</f>
        <v>0.000180946638142387</v>
      </c>
      <c r="M40" s="12" t="n">
        <f aca="false">$B$5-K40</f>
        <v>3.20838354448654</v>
      </c>
    </row>
    <row r="41" customFormat="false" ht="15" hidden="false" customHeight="false" outlineLevel="0" collapsed="false">
      <c r="A41" s="5" t="n">
        <v>280</v>
      </c>
      <c r="B41" s="12" t="n">
        <f aca="false">$B$5-$B$6*ERFC($A41/(2*SQRT($B$7*B$12)))</f>
        <v>29.9999167789974</v>
      </c>
      <c r="C41" s="12" t="n">
        <f aca="false">$B$5-$B$6*ERFC($A41/(2*SQRT($B$7*C$12)))</f>
        <v>29.9773162467866</v>
      </c>
      <c r="D41" s="12" t="n">
        <f aca="false">$B$5-$B$6*ERFC($A41/(2*SQRT($B$7*D$12)))</f>
        <v>29.8426213159832</v>
      </c>
      <c r="E41" s="12" t="n">
        <f aca="false">$B$5-$B$6*ERFC($A41/(2*SQRT($B$7*E$12)))</f>
        <v>29.5728291913233</v>
      </c>
      <c r="F41" s="12" t="n">
        <f aca="false">$B$5-$B$6*ERFC($A41/(2*SQRT($B$7*F$12)))</f>
        <v>29.2093503507062</v>
      </c>
      <c r="G41" s="12" t="n">
        <f aca="false">$B$5-$B$6*ERFC($A41/(2*SQRT($B$7*G$12)))</f>
        <v>28.7957570838425</v>
      </c>
      <c r="H41" s="12" t="n">
        <f aca="false">$B$5-$B$6*ERFC($A41/(2*SQRT($B$7*H$12)))</f>
        <v>28.3622413148382</v>
      </c>
      <c r="I41" s="12" t="n">
        <f aca="false">$B$5-$B$6*ERFC($A41/(2*SQRT($B$7*I$12)))</f>
        <v>27.9272407197208</v>
      </c>
      <c r="J41" s="12" t="n">
        <f aca="false">$B$5-$B$6*ERFC($A41/(2*SQRT($B$7*J$12)))</f>
        <v>27.5013279703877</v>
      </c>
      <c r="K41" s="12" t="n">
        <f aca="false">$B$5-$B$6*ERFC($A41/(2*SQRT($B$7*K$12)))</f>
        <v>27.0902158238824</v>
      </c>
      <c r="L41" s="12" t="n">
        <f aca="false">$B$5-B41</f>
        <v>8.32210025656366E-005</v>
      </c>
      <c r="M41" s="12" t="n">
        <f aca="false">$B$5-K41</f>
        <v>2.90978417611759</v>
      </c>
    </row>
    <row r="42" customFormat="false" ht="15" hidden="false" customHeight="false" outlineLevel="0" collapsed="false">
      <c r="A42" s="5" t="n">
        <v>290</v>
      </c>
      <c r="B42" s="12" t="n">
        <f aca="false">$B$5-$B$6*ERFC($A42/(2*SQRT($B$7*B$12)))</f>
        <v>29.999962707873</v>
      </c>
      <c r="C42" s="12" t="n">
        <f aca="false">$B$5-$B$6*ERFC($A42/(2*SQRT($B$7*C$12)))</f>
        <v>29.9850306954797</v>
      </c>
      <c r="D42" s="12" t="n">
        <f aca="false">$B$5-$B$6*ERFC($A42/(2*SQRT($B$7*D$12)))</f>
        <v>29.8817367257162</v>
      </c>
      <c r="E42" s="12" t="n">
        <f aca="false">$B$5-$B$6*ERFC($A42/(2*SQRT($B$7*E$12)))</f>
        <v>29.6572880887473</v>
      </c>
      <c r="F42" s="12" t="n">
        <f aca="false">$B$5-$B$6*ERFC($A42/(2*SQRT($B$7*F$12)))</f>
        <v>29.3400642943223</v>
      </c>
      <c r="G42" s="12" t="n">
        <f aca="false">$B$5-$B$6*ERFC($A42/(2*SQRT($B$7*G$12)))</f>
        <v>28.9677519201305</v>
      </c>
      <c r="H42" s="12" t="n">
        <f aca="false">$B$5-$B$6*ERFC($A42/(2*SQRT($B$7*H$12)))</f>
        <v>28.5690047916817</v>
      </c>
      <c r="I42" s="12" t="n">
        <f aca="false">$B$5-$B$6*ERFC($A42/(2*SQRT($B$7*I$12)))</f>
        <v>28.1625070037731</v>
      </c>
      <c r="J42" s="12" t="n">
        <f aca="false">$B$5-$B$6*ERFC($A42/(2*SQRT($B$7*J$12)))</f>
        <v>27.7596508815864</v>
      </c>
      <c r="K42" s="12" t="n">
        <f aca="false">$B$5-$B$6*ERFC($A42/(2*SQRT($B$7*K$12)))</f>
        <v>27.367057045595</v>
      </c>
      <c r="L42" s="12" t="n">
        <f aca="false">$B$5-B42</f>
        <v>3.72921269651272E-005</v>
      </c>
      <c r="M42" s="12" t="n">
        <f aca="false">$B$5-K42</f>
        <v>2.63294295440496</v>
      </c>
    </row>
    <row r="43" customFormat="false" ht="15" hidden="false" customHeight="false" outlineLevel="0" collapsed="false">
      <c r="A43" s="5" t="n">
        <v>300</v>
      </c>
      <c r="B43" s="12" t="n">
        <f aca="false">$B$5-$B$6*ERFC($A43/(2*SQRT($B$7*B$12)))</f>
        <v>29.999983719084</v>
      </c>
      <c r="C43" s="12" t="n">
        <f aca="false">$B$5-$B$6*ERFC($A43/(2*SQRT($B$7*C$12)))</f>
        <v>29.9902462380785</v>
      </c>
      <c r="D43" s="12" t="n">
        <f aca="false">$B$5-$B$6*ERFC($A43/(2*SQRT($B$7*D$12)))</f>
        <v>29.9118646090469</v>
      </c>
      <c r="E43" s="12" t="n">
        <f aca="false">$B$5-$B$6*ERFC($A43/(2*SQRT($B$7*E$12)))</f>
        <v>29.7267257426364</v>
      </c>
      <c r="F43" s="12" t="n">
        <f aca="false">$B$5-$B$6*ERFC($A43/(2*SQRT($B$7*F$12)))</f>
        <v>29.4518210976857</v>
      </c>
      <c r="G43" s="12" t="n">
        <f aca="false">$B$5-$B$6*ERFC($A43/(2*SQRT($B$7*G$12)))</f>
        <v>29.1186919852635</v>
      </c>
      <c r="H43" s="12" t="n">
        <f aca="false">$B$5-$B$6*ERFC($A43/(2*SQRT($B$7*H$12)))</f>
        <v>28.753872858438</v>
      </c>
      <c r="I43" s="12" t="n">
        <f aca="false">$B$5-$B$6*ERFC($A43/(2*SQRT($B$7*I$12)))</f>
        <v>28.375822569436</v>
      </c>
      <c r="J43" s="12" t="n">
        <f aca="false">$B$5-$B$6*ERFC($A43/(2*SQRT($B$7*J$12)))</f>
        <v>27.9964341154746</v>
      </c>
      <c r="K43" s="12" t="n">
        <f aca="false">$B$5-$B$6*ERFC($A43/(2*SQRT($B$7*K$12)))</f>
        <v>27.6230329728864</v>
      </c>
      <c r="L43" s="12" t="n">
        <f aca="false">$B$5-B43</f>
        <v>1.62809160322297E-005</v>
      </c>
      <c r="M43" s="12" t="n">
        <f aca="false">$B$5-K43</f>
        <v>2.3769670271136</v>
      </c>
    </row>
    <row r="44" customFormat="false" ht="15" hidden="false" customHeight="false" outlineLevel="0" collapsed="false">
      <c r="A44" s="5" t="n">
        <v>310</v>
      </c>
      <c r="B44" s="12" t="n">
        <f aca="false">$B$5-$B$6*ERFC($A44/(2*SQRT($B$7*B$12)))</f>
        <v>29.9999930753865</v>
      </c>
      <c r="C44" s="12" t="n">
        <f aca="false">$B$5-$B$6*ERFC($A44/(2*SQRT($B$7*C$12)))</f>
        <v>29.9937250568789</v>
      </c>
      <c r="D44" s="12" t="n">
        <f aca="false">$B$5-$B$6*ERFC($A44/(2*SQRT($B$7*D$12)))</f>
        <v>29.9348620610521</v>
      </c>
      <c r="E44" s="12" t="n">
        <f aca="false">$B$5-$B$6*ERFC($A44/(2*SQRT($B$7*E$12)))</f>
        <v>29.7834295076885</v>
      </c>
      <c r="F44" s="12" t="n">
        <f aca="false">$B$5-$B$6*ERFC($A44/(2*SQRT($B$7*F$12)))</f>
        <v>29.5468552144114</v>
      </c>
      <c r="G44" s="12" t="n">
        <f aca="false">$B$5-$B$6*ERFC($A44/(2*SQRT($B$7*G$12)))</f>
        <v>29.250559587595</v>
      </c>
      <c r="H44" s="12" t="n">
        <f aca="false">$B$5-$B$6*ERFC($A44/(2*SQRT($B$7*H$12)))</f>
        <v>28.9185273943764</v>
      </c>
      <c r="I44" s="12" t="n">
        <f aca="false">$B$5-$B$6*ERFC($A44/(2*SQRT($B$7*I$12)))</f>
        <v>28.5685833174702</v>
      </c>
      <c r="J44" s="12" t="n">
        <f aca="false">$B$5-$B$6*ERFC($A44/(2*SQRT($B$7*J$12)))</f>
        <v>28.2128230794353</v>
      </c>
      <c r="K44" s="12" t="n">
        <f aca="false">$B$5-$B$6*ERFC($A44/(2*SQRT($B$7*K$12)))</f>
        <v>27.8590775286508</v>
      </c>
      <c r="L44" s="12" t="n">
        <f aca="false">$B$5-B44</f>
        <v>6.92461345508377E-006</v>
      </c>
      <c r="M44" s="12" t="n">
        <f aca="false">$B$5-K44</f>
        <v>2.1409224713492</v>
      </c>
    </row>
    <row r="45" customFormat="false" ht="15" hidden="false" customHeight="false" outlineLevel="0" collapsed="false">
      <c r="A45" s="5" t="n">
        <v>320</v>
      </c>
      <c r="B45" s="12" t="n">
        <f aca="false">$B$5-$B$6*ERFC($A45/(2*SQRT($B$7*B$12)))</f>
        <v>29.9999971308948</v>
      </c>
      <c r="C45" s="12" t="n">
        <f aca="false">$B$5-$B$6*ERFC($A45/(2*SQRT($B$7*C$12)))</f>
        <v>29.9960143522281</v>
      </c>
      <c r="D45" s="12" t="n">
        <f aca="false">$B$5-$B$6*ERFC($A45/(2*SQRT($B$7*D$12)))</f>
        <v>29.9522593342716</v>
      </c>
      <c r="E45" s="12" t="n">
        <f aca="false">$B$5-$B$6*ERFC($A45/(2*SQRT($B$7*E$12)))</f>
        <v>29.829422956919</v>
      </c>
      <c r="F45" s="12" t="n">
        <f aca="false">$B$5-$B$6*ERFC($A45/(2*SQRT($B$7*F$12)))</f>
        <v>29.6272334803093</v>
      </c>
      <c r="G45" s="12" t="n">
        <f aca="false">$B$5-$B$6*ERFC($A45/(2*SQRT($B$7*G$12)))</f>
        <v>29.3652471014828</v>
      </c>
      <c r="H45" s="12" t="n">
        <f aca="false">$B$5-$B$6*ERFC($A45/(2*SQRT($B$7*H$12)))</f>
        <v>29.0646136054484</v>
      </c>
      <c r="I45" s="12" t="n">
        <f aca="false">$B$5-$B$6*ERFC($A45/(2*SQRT($B$7*I$12)))</f>
        <v>28.7421825738513</v>
      </c>
      <c r="J45" s="12" t="n">
        <f aca="false">$B$5-$B$6*ERFC($A45/(2*SQRT($B$7*J$12)))</f>
        <v>28.409981534354</v>
      </c>
      <c r="K45" s="12" t="n">
        <f aca="false">$B$5-$B$6*ERFC($A45/(2*SQRT($B$7*K$12)))</f>
        <v>28.0761552962448</v>
      </c>
      <c r="L45" s="12" t="n">
        <f aca="false">$B$5-B45</f>
        <v>2.86910524849304E-006</v>
      </c>
      <c r="M45" s="12" t="n">
        <f aca="false">$B$5-K45</f>
        <v>1.9238447037552</v>
      </c>
    </row>
    <row r="46" customFormat="false" ht="15" hidden="false" customHeight="false" outlineLevel="0" collapsed="false">
      <c r="A46" s="5" t="n">
        <v>330</v>
      </c>
      <c r="B46" s="12" t="n">
        <f aca="false">$B$5-$B$6*ERFC($A46/(2*SQRT($B$7*B$12)))</f>
        <v>29.9999988419897</v>
      </c>
      <c r="C46" s="12" t="n">
        <f aca="false">$B$5-$B$6*ERFC($A46/(2*SQRT($B$7*C$12)))</f>
        <v>29.9975006627282</v>
      </c>
      <c r="D46" s="12" t="n">
        <f aca="false">$B$5-$B$6*ERFC($A46/(2*SQRT($B$7*D$12)))</f>
        <v>29.9653021995561</v>
      </c>
      <c r="E46" s="12" t="n">
        <f aca="false">$B$5-$B$6*ERFC($A46/(2*SQRT($B$7*E$12)))</f>
        <v>29.8664779972322</v>
      </c>
      <c r="F46" s="12" t="n">
        <f aca="false">$B$5-$B$6*ERFC($A46/(2*SQRT($B$7*F$12)))</f>
        <v>29.6948497550662</v>
      </c>
      <c r="G46" s="12" t="n">
        <f aca="false">$B$5-$B$6*ERFC($A46/(2*SQRT($B$7*G$12)))</f>
        <v>29.4645446711907</v>
      </c>
      <c r="H46" s="12" t="n">
        <f aca="false">$B$5-$B$6*ERFC($A46/(2*SQRT($B$7*H$12)))</f>
        <v>29.1937261611036</v>
      </c>
      <c r="I46" s="12" t="n">
        <f aca="false">$B$5-$B$6*ERFC($A46/(2*SQRT($B$7*I$12)))</f>
        <v>28.8979979526375</v>
      </c>
      <c r="J46" s="12" t="n">
        <f aca="false">$B$5-$B$6*ERFC($A46/(2*SQRT($B$7*J$12)))</f>
        <v>28.5890799908627</v>
      </c>
      <c r="K46" s="12" t="n">
        <f aca="false">$B$5-$B$6*ERFC($A46/(2*SQRT($B$7*K$12)))</f>
        <v>28.2752516014903</v>
      </c>
      <c r="L46" s="12" t="n">
        <f aca="false">$B$5-B46</f>
        <v>1.15801030986518E-006</v>
      </c>
      <c r="M46" s="12" t="n">
        <f aca="false">$B$5-K46</f>
        <v>1.72474839850973</v>
      </c>
    </row>
    <row r="47" customFormat="false" ht="15" hidden="false" customHeight="false" outlineLevel="0" collapsed="false">
      <c r="A47" s="5" t="n">
        <v>340</v>
      </c>
      <c r="B47" s="12" t="n">
        <f aca="false">$B$5-$B$6*ERFC($A47/(2*SQRT($B$7*B$12)))</f>
        <v>29.9999995447232</v>
      </c>
      <c r="C47" s="12" t="n">
        <f aca="false">$B$5-$B$6*ERFC($A47/(2*SQRT($B$7*C$12)))</f>
        <v>29.9984527022211</v>
      </c>
      <c r="D47" s="12" t="n">
        <f aca="false">$B$5-$B$6*ERFC($A47/(2*SQRT($B$7*D$12)))</f>
        <v>29.974992900564</v>
      </c>
      <c r="E47" s="12" t="n">
        <f aca="false">$B$5-$B$6*ERFC($A47/(2*SQRT($B$7*E$12)))</f>
        <v>29.8961308052385</v>
      </c>
      <c r="F47" s="12" t="n">
        <f aca="false">$B$5-$B$6*ERFC($A47/(2*SQRT($B$7*F$12)))</f>
        <v>29.7514238175467</v>
      </c>
      <c r="G47" s="12" t="n">
        <f aca="false">$B$5-$B$6*ERFC($A47/(2*SQRT($B$7*G$12)))</f>
        <v>29.5501312274692</v>
      </c>
      <c r="H47" s="12" t="n">
        <f aca="false">$B$5-$B$6*ERFC($A47/(2*SQRT($B$7*H$12)))</f>
        <v>29.3073976258799</v>
      </c>
      <c r="I47" s="12" t="n">
        <f aca="false">$B$5-$B$6*ERFC($A47/(2*SQRT($B$7*I$12)))</f>
        <v>29.0373797243788</v>
      </c>
      <c r="J47" s="12" t="n">
        <f aca="false">$B$5-$B$6*ERFC($A47/(2*SQRT($B$7*J$12)))</f>
        <v>28.7512850585956</v>
      </c>
      <c r="K47" s="12" t="n">
        <f aca="false">$B$5-$B$6*ERFC($A47/(2*SQRT($B$7*K$12)))</f>
        <v>28.457363176294</v>
      </c>
      <c r="L47" s="12" t="n">
        <f aca="false">$B$5-B47</f>
        <v>4.55276801147875E-007</v>
      </c>
      <c r="M47" s="12" t="n">
        <f aca="false">$B$5-K47</f>
        <v>1.54263682370604</v>
      </c>
    </row>
    <row r="48" customFormat="false" ht="15" hidden="false" customHeight="false" outlineLevel="0" collapsed="false">
      <c r="A48" s="5" t="n">
        <v>350</v>
      </c>
      <c r="B48" s="12" t="n">
        <f aca="false">$B$5-$B$6*ERFC($A48/(2*SQRT($B$7*B$12)))</f>
        <v>29.9999998256511</v>
      </c>
      <c r="C48" s="12" t="n">
        <f aca="false">$B$5-$B$6*ERFC($A48/(2*SQRT($B$7*C$12)))</f>
        <v>29.9990543441258</v>
      </c>
      <c r="D48" s="12" t="n">
        <f aca="false">$B$5-$B$6*ERFC($A48/(2*SQRT($B$7*D$12)))</f>
        <v>29.9821284552716</v>
      </c>
      <c r="E48" s="12" t="n">
        <f aca="false">$B$5-$B$6*ERFC($A48/(2*SQRT($B$7*E$12)))</f>
        <v>29.9197003712951</v>
      </c>
      <c r="F48" s="12" t="n">
        <f aca="false">$B$5-$B$6*ERFC($A48/(2*SQRT($B$7*F$12)))</f>
        <v>29.7985038777131</v>
      </c>
      <c r="G48" s="12" t="n">
        <f aca="false">$B$5-$B$6*ERFC($A48/(2*SQRT($B$7*G$12)))</f>
        <v>29.6235685673267</v>
      </c>
      <c r="H48" s="12" t="n">
        <f aca="false">$B$5-$B$6*ERFC($A48/(2*SQRT($B$7*H$12)))</f>
        <v>29.4070891329506</v>
      </c>
      <c r="I48" s="12" t="n">
        <f aca="false">$B$5-$B$6*ERFC($A48/(2*SQRT($B$7*I$12)))</f>
        <v>29.1616407240979</v>
      </c>
      <c r="J48" s="12" t="n">
        <f aca="false">$B$5-$B$6*ERFC($A48/(2*SQRT($B$7*J$12)))</f>
        <v>28.8977498147077</v>
      </c>
      <c r="K48" s="12" t="n">
        <f aca="false">$B$5-$B$6*ERFC($A48/(2*SQRT($B$7*K$12)))</f>
        <v>28.6234894771046</v>
      </c>
      <c r="L48" s="12" t="n">
        <f aca="false">$B$5-B48</f>
        <v>1.74348883774655E-007</v>
      </c>
      <c r="M48" s="12" t="n">
        <f aca="false">$B$5-K48</f>
        <v>1.37651052289542</v>
      </c>
    </row>
    <row r="49" customFormat="false" ht="15" hidden="false" customHeight="false" outlineLevel="0" collapsed="false">
      <c r="A49" s="5" t="n">
        <v>360</v>
      </c>
      <c r="B49" s="12" t="n">
        <f aca="false">$B$5-$B$6*ERFC($A49/(2*SQRT($B$7*B$12)))</f>
        <v>29.9999999349679</v>
      </c>
      <c r="C49" s="12" t="n">
        <f aca="false">$B$5-$B$6*ERFC($A49/(2*SQRT($B$7*C$12)))</f>
        <v>29.9994294543322</v>
      </c>
      <c r="D49" s="12" t="n">
        <f aca="false">$B$5-$B$6*ERFC($A49/(2*SQRT($B$7*D$12)))</f>
        <v>29.9873354920543</v>
      </c>
      <c r="E49" s="12" t="n">
        <f aca="false">$B$5-$B$6*ERFC($A49/(2*SQRT($B$7*E$12)))</f>
        <v>29.9383085802009</v>
      </c>
      <c r="F49" s="12" t="n">
        <f aca="false">$B$5-$B$6*ERFC($A49/(2*SQRT($B$7*F$12)))</f>
        <v>29.8374720619886</v>
      </c>
      <c r="G49" s="12" t="n">
        <f aca="false">$B$5-$B$6*ERFC($A49/(2*SQRT($B$7*G$12)))</f>
        <v>29.6862982042042</v>
      </c>
      <c r="H49" s="12" t="n">
        <f aca="false">$B$5-$B$6*ERFC($A49/(2*SQRT($B$7*H$12)))</f>
        <v>29.4941832042946</v>
      </c>
      <c r="I49" s="12" t="n">
        <f aca="false">$B$5-$B$6*ERFC($A49/(2*SQRT($B$7*I$12)))</f>
        <v>29.2720477999267</v>
      </c>
      <c r="J49" s="12" t="n">
        <f aca="false">$B$5-$B$6*ERFC($A49/(2*SQRT($B$7*J$12)))</f>
        <v>29.029605234395</v>
      </c>
      <c r="K49" s="12" t="n">
        <f aca="false">$B$5-$B$6*ERFC($A49/(2*SQRT($B$7*K$12)))</f>
        <v>28.7746247152299</v>
      </c>
      <c r="L49" s="12" t="n">
        <f aca="false">$B$5-B49</f>
        <v>6.50321219097805E-008</v>
      </c>
      <c r="M49" s="12" t="n">
        <f aca="false">$B$5-K49</f>
        <v>1.22537528477012</v>
      </c>
    </row>
    <row r="50" customFormat="false" ht="15" hidden="false" customHeight="false" outlineLevel="0" collapsed="false">
      <c r="A50" s="5" t="n">
        <v>370</v>
      </c>
      <c r="B50" s="12" t="n">
        <f aca="false">$B$5-$B$6*ERFC($A50/(2*SQRT($B$7*B$12)))</f>
        <v>29.9999999763742</v>
      </c>
      <c r="C50" s="12" t="n">
        <f aca="false">$B$5-$B$6*ERFC($A50/(2*SQRT($B$7*C$12)))</f>
        <v>29.9996601914011</v>
      </c>
      <c r="D50" s="12" t="n">
        <f aca="false">$B$5-$B$6*ERFC($A50/(2*SQRT($B$7*D$12)))</f>
        <v>29.9911011763704</v>
      </c>
      <c r="E50" s="12" t="n">
        <f aca="false">$B$5-$B$6*ERFC($A50/(2*SQRT($B$7*E$12)))</f>
        <v>29.9529009149661</v>
      </c>
      <c r="F50" s="12" t="n">
        <f aca="false">$B$5-$B$6*ERFC($A50/(2*SQRT($B$7*F$12)))</f>
        <v>29.8695522458707</v>
      </c>
      <c r="G50" s="12" t="n">
        <f aca="false">$B$5-$B$6*ERFC($A50/(2*SQRT($B$7*G$12)))</f>
        <v>29.7396406668839</v>
      </c>
      <c r="H50" s="12" t="n">
        <f aca="false">$B$5-$B$6*ERFC($A50/(2*SQRT($B$7*H$12)))</f>
        <v>29.5699785870456</v>
      </c>
      <c r="I50" s="12" t="n">
        <f aca="false">$B$5-$B$6*ERFC($A50/(2*SQRT($B$7*I$12)))</f>
        <v>29.3698147739266</v>
      </c>
      <c r="J50" s="12" t="n">
        <f aca="false">$B$5-$B$6*ERFC($A50/(2*SQRT($B$7*J$12)))</f>
        <v>29.1479527039734</v>
      </c>
      <c r="K50" s="12" t="n">
        <f aca="false">$B$5-$B$6*ERFC($A50/(2*SQRT($B$7*K$12)))</f>
        <v>28.911750640168</v>
      </c>
      <c r="L50" s="12" t="n">
        <f aca="false">$B$5-B50</f>
        <v>2.3625847944686E-008</v>
      </c>
      <c r="M50" s="12" t="n">
        <f aca="false">$B$5-K50</f>
        <v>1.08824935983203</v>
      </c>
    </row>
    <row r="51" customFormat="false" ht="15" hidden="false" customHeight="false" outlineLevel="0" collapsed="false">
      <c r="A51" s="5" t="n">
        <v>380</v>
      </c>
      <c r="B51" s="12" t="n">
        <f aca="false">$B$5-$B$6*ERFC($A51/(2*SQRT($B$7*B$12)))</f>
        <v>29.9999999916404</v>
      </c>
      <c r="C51" s="12" t="n">
        <f aca="false">$B$5-$B$6*ERFC($A51/(2*SQRT($B$7*C$12)))</f>
        <v>29.9998002189683</v>
      </c>
      <c r="D51" s="12" t="n">
        <f aca="false">$B$5-$B$6*ERFC($A51/(2*SQRT($B$7*D$12)))</f>
        <v>29.9938000809567</v>
      </c>
      <c r="E51" s="12" t="n">
        <f aca="false">$B$5-$B$6*ERFC($A51/(2*SQRT($B$7*E$12)))</f>
        <v>29.9642670345326</v>
      </c>
      <c r="F51" s="12" t="n">
        <f aca="false">$B$5-$B$6*ERFC($A51/(2*SQRT($B$7*F$12)))</f>
        <v>29.8958196433032</v>
      </c>
      <c r="G51" s="12" t="n">
        <f aca="false">$B$5-$B$6*ERFC($A51/(2*SQRT($B$7*G$12)))</f>
        <v>29.784796909974</v>
      </c>
      <c r="H51" s="12" t="n">
        <f aca="false">$B$5-$B$6*ERFC($A51/(2*SQRT($B$7*H$12)))</f>
        <v>29.6356869480119</v>
      </c>
      <c r="I51" s="12" t="n">
        <f aca="false">$B$5-$B$6*ERFC($A51/(2*SQRT($B$7*I$12)))</f>
        <v>29.4560968608619</v>
      </c>
      <c r="J51" s="12" t="n">
        <f aca="false">$B$5-$B$6*ERFC($A51/(2*SQRT($B$7*J$12)))</f>
        <v>29.2538576166042</v>
      </c>
      <c r="K51" s="12" t="n">
        <f aca="false">$B$5-$B$6*ERFC($A51/(2*SQRT($B$7*K$12)))</f>
        <v>29.0358301018684</v>
      </c>
      <c r="L51" s="12" t="n">
        <f aca="false">$B$5-B51</f>
        <v>8.35957436606805E-009</v>
      </c>
      <c r="M51" s="12" t="n">
        <f aca="false">$B$5-K51</f>
        <v>0.964169898131612</v>
      </c>
    </row>
    <row r="52" customFormat="false" ht="15" hidden="false" customHeight="false" outlineLevel="0" collapsed="false">
      <c r="A52" s="5" t="n">
        <v>390</v>
      </c>
      <c r="B52" s="12" t="n">
        <f aca="false">$B$5-$B$6*ERFC($A52/(2*SQRT($B$7*B$12)))</f>
        <v>29.9999999971193</v>
      </c>
      <c r="C52" s="12" t="n">
        <f aca="false">$B$5-$B$6*ERFC($A52/(2*SQRT($B$7*C$12)))</f>
        <v>29.99988405822</v>
      </c>
      <c r="D52" s="12" t="n">
        <f aca="false">$B$5-$B$6*ERFC($A52/(2*SQRT($B$7*D$12)))</f>
        <v>29.9957170782955</v>
      </c>
      <c r="E52" s="12" t="n">
        <f aca="false">$B$5-$B$6*ERFC($A52/(2*SQRT($B$7*E$12)))</f>
        <v>29.9730606380565</v>
      </c>
      <c r="F52" s="12" t="n">
        <f aca="false">$B$5-$B$6*ERFC($A52/(2*SQRT($B$7*F$12)))</f>
        <v>29.9172116122076</v>
      </c>
      <c r="G52" s="12" t="n">
        <f aca="false">$B$5-$B$6*ERFC($A52/(2*SQRT($B$7*G$12)))</f>
        <v>29.8228514953398</v>
      </c>
      <c r="H52" s="12" t="n">
        <f aca="false">$B$5-$B$6*ERFC($A52/(2*SQRT($B$7*H$12)))</f>
        <v>29.6924312481968</v>
      </c>
      <c r="I52" s="12" t="n">
        <f aca="false">$B$5-$B$6*ERFC($A52/(2*SQRT($B$7*I$12)))</f>
        <v>29.5319864689625</v>
      </c>
      <c r="J52" s="12" t="n">
        <f aca="false">$B$5-$B$6*ERFC($A52/(2*SQRT($B$7*J$12)))</f>
        <v>29.3483440322877</v>
      </c>
      <c r="K52" s="12" t="n">
        <f aca="false">$B$5-$B$6*ERFC($A52/(2*SQRT($B$7*K$12)))</f>
        <v>29.1478014034878</v>
      </c>
      <c r="L52" s="12" t="n">
        <f aca="false">$B$5-B52</f>
        <v>2.8807498608785E-009</v>
      </c>
      <c r="M52" s="12" t="n">
        <f aca="false">$B$5-K52</f>
        <v>0.852198596512238</v>
      </c>
    </row>
    <row r="53" customFormat="false" ht="15" hidden="false" customHeight="false" outlineLevel="0" collapsed="false">
      <c r="A53" s="5" t="n">
        <v>400</v>
      </c>
      <c r="B53" s="12" t="n">
        <f aca="false">$B$5-$B$6*ERFC($A53/(2*SQRT($B$7*B$12)))</f>
        <v>29.9999999990332</v>
      </c>
      <c r="C53" s="12" t="n">
        <f aca="false">$B$5-$B$6*ERFC($A53/(2*SQRT($B$7*C$12)))</f>
        <v>29.9999335825852</v>
      </c>
      <c r="D53" s="12" t="n">
        <f aca="false">$B$5-$B$6*ERFC($A53/(2*SQRT($B$7*D$12)))</f>
        <v>29.9970664942626</v>
      </c>
      <c r="E53" s="12" t="n">
        <f aca="false">$B$5-$B$6*ERFC($A53/(2*SQRT($B$7*E$12)))</f>
        <v>29.9798181802381</v>
      </c>
      <c r="F53" s="12" t="n">
        <f aca="false">$B$5-$B$6*ERFC($A53/(2*SQRT($B$7*F$12)))</f>
        <v>29.934539195269</v>
      </c>
      <c r="G53" s="12" t="n">
        <f aca="false">$B$5-$B$6*ERFC($A53/(2*SQRT($B$7*G$12)))</f>
        <v>29.8547772107534</v>
      </c>
      <c r="H53" s="12" t="n">
        <f aca="false">$B$5-$B$6*ERFC($A53/(2*SQRT($B$7*H$12)))</f>
        <v>29.741245606047</v>
      </c>
      <c r="I53" s="12" t="n">
        <f aca="false">$B$5-$B$6*ERFC($A53/(2*SQRT($B$7*I$12)))</f>
        <v>29.5985102891198</v>
      </c>
      <c r="J53" s="12" t="n">
        <f aca="false">$B$5-$B$6*ERFC($A53/(2*SQRT($B$7*J$12)))</f>
        <v>29.4323903675163</v>
      </c>
      <c r="K53" s="12" t="n">
        <f aca="false">$B$5-$B$6*ERFC($A53/(2*SQRT($B$7*K$12)))</f>
        <v>29.2485734429567</v>
      </c>
      <c r="L53" s="12" t="n">
        <f aca="false">$B$5-B53</f>
        <v>9.66807078839338E-010</v>
      </c>
      <c r="M53" s="12" t="n">
        <f aca="false">$B$5-K53</f>
        <v>0.751426557043317</v>
      </c>
    </row>
    <row r="54" customFormat="false" ht="15" hidden="false" customHeight="false" outlineLevel="0" collapsed="false">
      <c r="A54" s="5" t="n">
        <v>410</v>
      </c>
      <c r="B54" s="12" t="n">
        <f aca="false">$B$5-$B$6*ERFC($A54/(2*SQRT($B$7*B$12)))</f>
        <v>29.999999999684</v>
      </c>
      <c r="C54" s="12" t="n">
        <f aca="false">$B$5-$B$6*ERFC($A54/(2*SQRT($B$7*C$12)))</f>
        <v>29.9999624446973</v>
      </c>
      <c r="D54" s="12" t="n">
        <f aca="false">$B$5-$B$6*ERFC($A54/(2*SQRT($B$7*D$12)))</f>
        <v>29.9980078646539</v>
      </c>
      <c r="E54" s="12" t="n">
        <f aca="false">$B$5-$B$6*ERFC($A54/(2*SQRT($B$7*E$12)))</f>
        <v>29.9849761390964</v>
      </c>
      <c r="F54" s="12" t="n">
        <f aca="false">$B$5-$B$6*ERFC($A54/(2*SQRT($B$7*F$12)))</f>
        <v>29.9484989805134</v>
      </c>
      <c r="G54" s="12" t="n">
        <f aca="false">$B$5-$B$6*ERFC($A54/(2*SQRT($B$7*G$12)))</f>
        <v>29.8814408075479</v>
      </c>
      <c r="H54" s="12" t="n">
        <f aca="false">$B$5-$B$6*ERFC($A54/(2*SQRT($B$7*H$12)))</f>
        <v>29.7830764515641</v>
      </c>
      <c r="I54" s="12" t="n">
        <f aca="false">$B$5-$B$6*ERFC($A54/(2*SQRT($B$7*I$12)))</f>
        <v>29.6566275654763</v>
      </c>
      <c r="J54" s="12" t="n">
        <f aca="false">$B$5-$B$6*ERFC($A54/(2*SQRT($B$7*J$12)))</f>
        <v>29.5069260661092</v>
      </c>
      <c r="K54" s="12" t="n">
        <f aca="false">$B$5-$B$6*ERFC($A54/(2*SQRT($B$7*K$12)))</f>
        <v>29.339021629699</v>
      </c>
      <c r="L54" s="12" t="n">
        <f aca="false">$B$5-B54</f>
        <v>3.15992565447232E-010</v>
      </c>
      <c r="M54" s="12" t="n">
        <f aca="false">$B$5-K54</f>
        <v>0.660978370301017</v>
      </c>
    </row>
    <row r="55" customFormat="false" ht="15" hidden="false" customHeight="false" outlineLevel="0" collapsed="false">
      <c r="A55" s="5" t="n">
        <v>420</v>
      </c>
      <c r="B55" s="12" t="n">
        <f aca="false">$B$5-$B$6*ERFC($A55/(2*SQRT($B$7*B$12)))</f>
        <v>29.9999999998994</v>
      </c>
      <c r="C55" s="12" t="n">
        <f aca="false">$B$5-$B$6*ERFC($A55/(2*SQRT($B$7*C$12)))</f>
        <v>29.9999790396098</v>
      </c>
      <c r="D55" s="12" t="n">
        <f aca="false">$B$5-$B$6*ERFC($A55/(2*SQRT($B$7*D$12)))</f>
        <v>29.9986586916789</v>
      </c>
      <c r="E55" s="12" t="n">
        <f aca="false">$B$5-$B$6*ERFC($A55/(2*SQRT($B$7*E$12)))</f>
        <v>29.988886656344</v>
      </c>
      <c r="F55" s="12" t="n">
        <f aca="false">$B$5-$B$6*ERFC($A55/(2*SQRT($B$7*F$12)))</f>
        <v>29.9596849338178</v>
      </c>
      <c r="G55" s="12" t="n">
        <f aca="false">$B$5-$B$6*ERFC($A55/(2*SQRT($B$7*G$12)))</f>
        <v>29.9036095613444</v>
      </c>
      <c r="H55" s="12" t="n">
        <f aca="false">$B$5-$B$6*ERFC($A55/(2*SQRT($B$7*H$12)))</f>
        <v>29.8187847726677</v>
      </c>
      <c r="I55" s="12" t="n">
        <f aca="false">$B$5-$B$6*ERFC($A55/(2*SQRT($B$7*I$12)))</f>
        <v>29.7072294308518</v>
      </c>
      <c r="J55" s="12" t="n">
        <f aca="false">$B$5-$B$6*ERFC($A55/(2*SQRT($B$7*J$12)))</f>
        <v>29.5728291913233</v>
      </c>
      <c r="K55" s="12" t="n">
        <f aca="false">$B$5-$B$6*ERFC($A55/(2*SQRT($B$7*K$12)))</f>
        <v>29.4199845522664</v>
      </c>
      <c r="L55" s="12" t="n">
        <f aca="false">$B$5-B55</f>
        <v>1.00577324246842E-010</v>
      </c>
      <c r="M55" s="12" t="n">
        <f aca="false">$B$5-K55</f>
        <v>0.580015447733629</v>
      </c>
    </row>
    <row r="56" customFormat="false" ht="15" hidden="false" customHeight="false" outlineLevel="0" collapsed="false">
      <c r="A56" s="5" t="n">
        <v>430</v>
      </c>
      <c r="B56" s="12" t="n">
        <f aca="false">$B$5-$B$6*ERFC($A56/(2*SQRT($B$7*B$12)))</f>
        <v>29.9999999999688</v>
      </c>
      <c r="C56" s="12" t="n">
        <f aca="false">$B$5-$B$6*ERFC($A56/(2*SQRT($B$7*C$12)))</f>
        <v>29.9999884532909</v>
      </c>
      <c r="D56" s="12" t="n">
        <f aca="false">$B$5-$B$6*ERFC($A56/(2*SQRT($B$7*D$12)))</f>
        <v>29.9991046158107</v>
      </c>
      <c r="E56" s="12" t="n">
        <f aca="false">$B$5-$B$6*ERFC($A56/(2*SQRT($B$7*E$12)))</f>
        <v>29.9918314696103</v>
      </c>
      <c r="F56" s="12" t="n">
        <f aca="false">$B$5-$B$6*ERFC($A56/(2*SQRT($B$7*F$12)))</f>
        <v>29.9685999222451</v>
      </c>
      <c r="G56" s="12" t="n">
        <f aca="false">$B$5-$B$6*ERFC($A56/(2*SQRT($B$7*G$12)))</f>
        <v>29.9219583871854</v>
      </c>
      <c r="H56" s="12" t="n">
        <f aca="false">$B$5-$B$6*ERFC($A56/(2*SQRT($B$7*H$12)))</f>
        <v>29.8491492595161</v>
      </c>
      <c r="I56" s="12" t="n">
        <f aca="false">$B$5-$B$6*ERFC($A56/(2*SQRT($B$7*I$12)))</f>
        <v>29.7511391846679</v>
      </c>
      <c r="J56" s="12" t="n">
        <f aca="false">$B$5-$B$6*ERFC($A56/(2*SQRT($B$7*J$12)))</f>
        <v>29.6309248703287</v>
      </c>
      <c r="K56" s="12" t="n">
        <f aca="false">$B$5-$B$6*ERFC($A56/(2*SQRT($B$7*K$12)))</f>
        <v>29.4922613635506</v>
      </c>
      <c r="L56" s="12" t="n">
        <f aca="false">$B$5-B56</f>
        <v>3.11750625314744E-011</v>
      </c>
      <c r="M56" s="12" t="n">
        <f aca="false">$B$5-K56</f>
        <v>0.507738636449385</v>
      </c>
    </row>
    <row r="57" customFormat="false" ht="15" hidden="false" customHeight="false" outlineLevel="0" collapsed="false">
      <c r="A57" s="5" t="n">
        <v>440</v>
      </c>
      <c r="B57" s="12" t="n">
        <f aca="false">$B$5-$B$6*ERFC($A57/(2*SQRT($B$7*B$12)))</f>
        <v>29.9999999999906</v>
      </c>
      <c r="C57" s="12" t="n">
        <f aca="false">$B$5-$B$6*ERFC($A57/(2*SQRT($B$7*C$12)))</f>
        <v>29.9999937217262</v>
      </c>
      <c r="D57" s="12" t="n">
        <f aca="false">$B$5-$B$6*ERFC($A57/(2*SQRT($B$7*D$12)))</f>
        <v>29.9994074094339</v>
      </c>
      <c r="E57" s="12" t="n">
        <f aca="false">$B$5-$B$6*ERFC($A57/(2*SQRT($B$7*E$12)))</f>
        <v>29.9940341350572</v>
      </c>
      <c r="F57" s="12" t="n">
        <f aca="false">$B$5-$B$6*ERFC($A57/(2*SQRT($B$7*F$12)))</f>
        <v>29.9756667105589</v>
      </c>
      <c r="G57" s="12" t="n">
        <f aca="false">$B$5-$B$6*ERFC($A57/(2*SQRT($B$7*G$12)))</f>
        <v>29.9370772709573</v>
      </c>
      <c r="H57" s="12" t="n">
        <f aca="false">$B$5-$B$6*ERFC($A57/(2*SQRT($B$7*H$12)))</f>
        <v>29.8748701610433</v>
      </c>
      <c r="I57" s="12" t="n">
        <f aca="false">$B$5-$B$6*ERFC($A57/(2*SQRT($B$7*I$12)))</f>
        <v>29.7891133886605</v>
      </c>
      <c r="J57" s="12" t="n">
        <f aca="false">$B$5-$B$6*ERFC($A57/(2*SQRT($B$7*J$12)))</f>
        <v>29.6819845155066</v>
      </c>
      <c r="K57" s="12" t="n">
        <f aca="false">$B$5-$B$6*ERFC($A57/(2*SQRT($B$7*K$12)))</f>
        <v>29.5566098426507</v>
      </c>
      <c r="L57" s="12" t="n">
        <f aca="false">$B$5-B57</f>
        <v>9.41113853514253E-012</v>
      </c>
      <c r="M57" s="12" t="n">
        <f aca="false">$B$5-K57</f>
        <v>0.443390157349288</v>
      </c>
    </row>
    <row r="58" customFormat="false" ht="15" hidden="false" customHeight="false" outlineLevel="0" collapsed="false">
      <c r="A58" s="5" t="n">
        <v>450</v>
      </c>
      <c r="B58" s="12" t="n">
        <f aca="false">$B$5-$B$6*ERFC($A58/(2*SQRT($B$7*B$12)))</f>
        <v>29.9999999999972</v>
      </c>
      <c r="C58" s="12" t="n">
        <f aca="false">$B$5-$B$6*ERFC($A58/(2*SQRT($B$7*C$12)))</f>
        <v>29.9999966307111</v>
      </c>
      <c r="D58" s="12" t="n">
        <f aca="false">$B$5-$B$6*ERFC($A58/(2*SQRT($B$7*D$12)))</f>
        <v>29.9996111712605</v>
      </c>
      <c r="E58" s="12" t="n">
        <f aca="false">$B$5-$B$6*ERFC($A58/(2*SQRT($B$7*E$12)))</f>
        <v>29.9956705993736</v>
      </c>
      <c r="F58" s="12" t="n">
        <f aca="false">$B$5-$B$6*ERFC($A58/(2*SQRT($B$7*F$12)))</f>
        <v>29.981238271655</v>
      </c>
      <c r="G58" s="12" t="n">
        <f aca="false">$B$5-$B$6*ERFC($A58/(2*SQRT($B$7*G$12)))</f>
        <v>29.9494788112756</v>
      </c>
      <c r="H58" s="12" t="n">
        <f aca="false">$B$5-$B$6*ERFC($A58/(2*SQRT($B$7*H$12)))</f>
        <v>29.8965736799165</v>
      </c>
      <c r="I58" s="12" t="n">
        <f aca="false">$B$5-$B$6*ERFC($A58/(2*SQRT($B$7*I$12)))</f>
        <v>29.8218436563576</v>
      </c>
      <c r="J58" s="12" t="n">
        <f aca="false">$B$5-$B$6*ERFC($A58/(2*SQRT($B$7*J$12)))</f>
        <v>29.7267257426364</v>
      </c>
      <c r="K58" s="12" t="n">
        <f aca="false">$B$5-$B$6*ERFC($A58/(2*SQRT($B$7*K$12)))</f>
        <v>29.6137450864037</v>
      </c>
      <c r="L58" s="12" t="n">
        <f aca="false">$B$5-B58</f>
        <v>2.76756395578559E-012</v>
      </c>
      <c r="M58" s="12" t="n">
        <f aca="false">$B$5-K58</f>
        <v>0.386254913596304</v>
      </c>
    </row>
    <row r="59" customFormat="false" ht="15" hidden="false" customHeight="false" outlineLevel="0" collapsed="false">
      <c r="A59" s="5" t="n">
        <v>460</v>
      </c>
      <c r="B59" s="12" t="n">
        <f aca="false">$B$5-$B$6*ERFC($A59/(2*SQRT($B$7*B$12)))</f>
        <v>29.9999999999992</v>
      </c>
      <c r="C59" s="12" t="n">
        <f aca="false">$B$5-$B$6*ERFC($A59/(2*SQRT($B$7*C$12)))</f>
        <v>29.9999982153815</v>
      </c>
      <c r="D59" s="12" t="n">
        <f aca="false">$B$5-$B$6*ERFC($A59/(2*SQRT($B$7*D$12)))</f>
        <v>29.9997470618166</v>
      </c>
      <c r="E59" s="12" t="n">
        <f aca="false">$B$5-$B$6*ERFC($A59/(2*SQRT($B$7*E$12)))</f>
        <v>29.9968782234498</v>
      </c>
      <c r="F59" s="12" t="n">
        <f aca="false">$B$5-$B$6*ERFC($A59/(2*SQRT($B$7*F$12)))</f>
        <v>29.9856073036864</v>
      </c>
      <c r="G59" s="12" t="n">
        <f aca="false">$B$5-$B$6*ERFC($A59/(2*SQRT($B$7*G$12)))</f>
        <v>29.9596056986965</v>
      </c>
      <c r="H59" s="12" t="n">
        <f aca="false">$B$5-$B$6*ERFC($A59/(2*SQRT($B$7*H$12)))</f>
        <v>29.9148167466162</v>
      </c>
      <c r="I59" s="12" t="n">
        <f aca="false">$B$5-$B$6*ERFC($A59/(2*SQRT($B$7*I$12)))</f>
        <v>29.8499590156068</v>
      </c>
      <c r="J59" s="12" t="n">
        <f aca="false">$B$5-$B$6*ERFC($A59/(2*SQRT($B$7*J$12)))</f>
        <v>29.7658129037383</v>
      </c>
      <c r="K59" s="12" t="n">
        <f aca="false">$B$5-$B$6*ERFC($A59/(2*SQRT($B$7*K$12)))</f>
        <v>29.6643387789997</v>
      </c>
      <c r="L59" s="12" t="n">
        <f aca="false">$B$5-B59</f>
        <v>7.92255150372512E-013</v>
      </c>
      <c r="M59" s="12" t="n">
        <f aca="false">$B$5-K59</f>
        <v>0.335661221000265</v>
      </c>
    </row>
    <row r="60" customFormat="false" ht="15" hidden="false" customHeight="false" outlineLevel="0" collapsed="false">
      <c r="A60" s="5" t="n">
        <v>470</v>
      </c>
      <c r="B60" s="12" t="n">
        <f aca="false">$B$5-$B$6*ERFC($A60/(2*SQRT($B$7*B$12)))</f>
        <v>29.9999999999998</v>
      </c>
      <c r="C60" s="12" t="n">
        <f aca="false">$B$5-$B$6*ERFC($A60/(2*SQRT($B$7*C$12)))</f>
        <v>29.9999990670567</v>
      </c>
      <c r="D60" s="12" t="n">
        <f aca="false">$B$5-$B$6*ERFC($A60/(2*SQRT($B$7*D$12)))</f>
        <v>29.9998368762378</v>
      </c>
      <c r="E60" s="12" t="n">
        <f aca="false">$B$5-$B$6*ERFC($A60/(2*SQRT($B$7*E$12)))</f>
        <v>29.997763388398</v>
      </c>
      <c r="F60" s="12" t="n">
        <f aca="false">$B$5-$B$6*ERFC($A60/(2*SQRT($B$7*F$12)))</f>
        <v>29.9890148916581</v>
      </c>
      <c r="G60" s="12" t="n">
        <f aca="false">$B$5-$B$6*ERFC($A60/(2*SQRT($B$7*G$12)))</f>
        <v>29.9678379910615</v>
      </c>
      <c r="H60" s="12" t="n">
        <f aca="false">$B$5-$B$6*ERFC($A60/(2*SQRT($B$7*H$12)))</f>
        <v>29.9300920296004</v>
      </c>
      <c r="I60" s="12" t="n">
        <f aca="false">$B$5-$B$6*ERFC($A60/(2*SQRT($B$7*I$12)))</f>
        <v>29.8740287289663</v>
      </c>
      <c r="J60" s="12" t="n">
        <f aca="false">$B$5-$B$6*ERFC($A60/(2*SQRT($B$7*J$12)))</f>
        <v>29.7998581519303</v>
      </c>
      <c r="K60" s="12" t="n">
        <f aca="false">$B$5-$B$6*ERFC($A60/(2*SQRT($B$7*K$12)))</f>
        <v>29.7090189849298</v>
      </c>
      <c r="L60" s="12" t="n">
        <f aca="false">$B$5-B60</f>
        <v>2.20268248085631E-013</v>
      </c>
      <c r="M60" s="12" t="n">
        <f aca="false">$B$5-K60</f>
        <v>0.290981015070209</v>
      </c>
    </row>
    <row r="61" customFormat="false" ht="15" hidden="false" customHeight="false" outlineLevel="0" collapsed="false">
      <c r="A61" s="5" t="n">
        <v>480</v>
      </c>
      <c r="B61" s="12" t="n">
        <f aca="false">$B$5-$B$6*ERFC($A61/(2*SQRT($B$7*B$12)))</f>
        <v>29.9999999999999</v>
      </c>
      <c r="C61" s="12" t="n">
        <f aca="false">$B$5-$B$6*ERFC($A61/(2*SQRT($B$7*C$12)))</f>
        <v>29.9999995186493</v>
      </c>
      <c r="D61" s="12" t="n">
        <f aca="false">$B$5-$B$6*ERFC($A61/(2*SQRT($B$7*D$12)))</f>
        <v>29.9998957054758</v>
      </c>
      <c r="E61" s="12" t="n">
        <f aca="false">$B$5-$B$6*ERFC($A61/(2*SQRT($B$7*E$12)))</f>
        <v>29.9984078304538</v>
      </c>
      <c r="F61" s="12" t="n">
        <f aca="false">$B$5-$B$6*ERFC($A61/(2*SQRT($B$7*F$12)))</f>
        <v>29.9916582889492</v>
      </c>
      <c r="G61" s="12" t="n">
        <f aca="false">$B$5-$B$6*ERFC($A61/(2*SQRT($B$7*G$12)))</f>
        <v>29.9745000740854</v>
      </c>
      <c r="H61" s="12" t="n">
        <f aca="false">$B$5-$B$6*ERFC($A61/(2*SQRT($B$7*H$12)))</f>
        <v>29.9428330558085</v>
      </c>
      <c r="I61" s="12" t="n">
        <f aca="false">$B$5-$B$6*ERFC($A61/(2*SQRT($B$7*I$12)))</f>
        <v>29.8945654640572</v>
      </c>
      <c r="J61" s="12" t="n">
        <f aca="false">$B$5-$B$6*ERFC($A61/(2*SQRT($B$7*J$12)))</f>
        <v>29.829422956919</v>
      </c>
      <c r="K61" s="12" t="n">
        <f aca="false">$B$5-$B$6*ERFC($A61/(2*SQRT($B$7*K$12)))</f>
        <v>29.748370408667</v>
      </c>
      <c r="L61" s="12" t="n">
        <f aca="false">$B$5-B61</f>
        <v>0</v>
      </c>
      <c r="M61" s="12" t="n">
        <f aca="false">$B$5-K61</f>
        <v>0.251629591333046</v>
      </c>
    </row>
    <row r="62" customFormat="false" ht="15" hidden="false" customHeight="false" outlineLevel="0" collapsed="false">
      <c r="A62" s="5" t="n">
        <v>490</v>
      </c>
      <c r="B62" s="12" t="n">
        <f aca="false">$B$5-$B$6*ERFC($A62/(2*SQRT($B$7*B$12)))</f>
        <v>30</v>
      </c>
      <c r="C62" s="12" t="n">
        <f aca="false">$B$5-$B$6*ERFC($A62/(2*SQRT($B$7*C$12)))</f>
        <v>29.9999997548913</v>
      </c>
      <c r="D62" s="12" t="n">
        <f aca="false">$B$5-$B$6*ERFC($A62/(2*SQRT($B$7*D$12)))</f>
        <v>29.9999338938102</v>
      </c>
      <c r="E62" s="12" t="n">
        <f aca="false">$B$5-$B$6*ERFC($A62/(2*SQRT($B$7*E$12)))</f>
        <v>29.998873857114</v>
      </c>
      <c r="F62" s="12" t="n">
        <f aca="false">$B$5-$B$6*ERFC($A62/(2*SQRT($B$7*F$12)))</f>
        <v>29.9936978246918</v>
      </c>
      <c r="G62" s="12" t="n">
        <f aca="false">$B$5-$B$6*ERFC($A62/(2*SQRT($B$7*G$12)))</f>
        <v>29.9798672242534</v>
      </c>
      <c r="H62" s="12" t="n">
        <f aca="false">$B$5-$B$6*ERFC($A62/(2*SQRT($B$7*H$12)))</f>
        <v>29.953419333439</v>
      </c>
      <c r="I62" s="12" t="n">
        <f aca="false">$B$5-$B$6*ERFC($A62/(2*SQRT($B$7*I$12)))</f>
        <v>29.9120287146123</v>
      </c>
      <c r="J62" s="12" t="n">
        <f aca="false">$B$5-$B$6*ERFC($A62/(2*SQRT($B$7*J$12)))</f>
        <v>29.8550199924472</v>
      </c>
      <c r="K62" s="12" t="n">
        <f aca="false">$B$5-$B$6*ERFC($A62/(2*SQRT($B$7*K$12)))</f>
        <v>29.7829350638497</v>
      </c>
      <c r="L62" s="12" t="n">
        <f aca="false">$B$5-B62</f>
        <v>0</v>
      </c>
      <c r="M62" s="12" t="n">
        <f aca="false">$B$5-K62</f>
        <v>0.217064936150294</v>
      </c>
    </row>
    <row r="63" customFormat="false" ht="15" hidden="false" customHeight="false" outlineLevel="0" collapsed="false">
      <c r="A63" s="5" t="n">
        <v>500</v>
      </c>
      <c r="B63" s="12" t="n">
        <f aca="false">$B$5-$B$6*ERFC($A63/(2*SQRT($B$7*B$12)))</f>
        <v>30</v>
      </c>
      <c r="C63" s="12" t="n">
        <f aca="false">$B$5-$B$6*ERFC($A63/(2*SQRT($B$7*C$12)))</f>
        <v>29.9999998768198</v>
      </c>
      <c r="D63" s="12" t="n">
        <f aca="false">$B$5-$B$6*ERFC($A63/(2*SQRT($B$7*D$12)))</f>
        <v>29.9999584611741</v>
      </c>
      <c r="E63" s="12" t="n">
        <f aca="false">$B$5-$B$6*ERFC($A63/(2*SQRT($B$7*E$12)))</f>
        <v>29.9992085950015</v>
      </c>
      <c r="F63" s="12" t="n">
        <f aca="false">$B$5-$B$6*ERFC($A63/(2*SQRT($B$7*F$12)))</f>
        <v>29.995262966587</v>
      </c>
      <c r="G63" s="12" t="n">
        <f aca="false">$B$5-$B$6*ERFC($A63/(2*SQRT($B$7*G$12)))</f>
        <v>29.9841717162401</v>
      </c>
      <c r="H63" s="12" t="n">
        <f aca="false">$B$5-$B$6*ERFC($A63/(2*SQRT($B$7*H$12)))</f>
        <v>29.9621813864342</v>
      </c>
      <c r="I63" s="12" t="n">
        <f aca="false">$B$5-$B$6*ERFC($A63/(2*SQRT($B$7*I$12)))</f>
        <v>29.9268283825289</v>
      </c>
      <c r="J63" s="12" t="n">
        <f aca="false">$B$5-$B$6*ERFC($A63/(2*SQRT($B$7*J$12)))</f>
        <v>29.8771153209143</v>
      </c>
      <c r="K63" s="12" t="n">
        <f aca="false">$B$5-$B$6*ERFC($A63/(2*SQRT($B$7*K$12)))</f>
        <v>29.8132132951909</v>
      </c>
      <c r="L63" s="12" t="n">
        <f aca="false">$B$5-B63</f>
        <v>0</v>
      </c>
      <c r="M63" s="12" t="n">
        <f aca="false">$B$5-K63</f>
        <v>0.186786704809094</v>
      </c>
    </row>
    <row r="65" customFormat="false" ht="78" hidden="false" customHeight="true" outlineLevel="0" collapsed="false">
      <c r="A65" s="8" t="s">
        <v>195</v>
      </c>
      <c r="B65" s="8"/>
      <c r="C65" s="8"/>
      <c r="D65" s="8"/>
      <c r="E65" s="8"/>
      <c r="F65" s="8"/>
      <c r="G65" s="8"/>
      <c r="H65" s="8"/>
      <c r="I65" s="8"/>
      <c r="J65" s="8"/>
      <c r="K65" s="8"/>
      <c r="L65" s="8"/>
      <c r="M65" s="8"/>
    </row>
    <row r="67" customFormat="false" ht="39" hidden="false" customHeight="true" outlineLevel="0" collapsed="false">
      <c r="A67" s="7" t="s">
        <v>196</v>
      </c>
      <c r="B67" s="7"/>
      <c r="C67" s="7"/>
      <c r="D67" s="7"/>
      <c r="E67" s="7"/>
      <c r="F67" s="7"/>
      <c r="G67" s="7"/>
      <c r="H67" s="7"/>
      <c r="I67" s="7"/>
      <c r="J67" s="7"/>
      <c r="K67" s="7"/>
      <c r="L67" s="7"/>
      <c r="M67" s="7"/>
    </row>
  </sheetData>
  <mergeCells count="4">
    <mergeCell ref="A1:M1"/>
    <mergeCell ref="A2:M2"/>
    <mergeCell ref="A65:M65"/>
    <mergeCell ref="A67:M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4" min="3" style="0" width="16"/>
    <col collapsed="false" customWidth="true" hidden="false" outlineLevel="0" max="5" min="5" style="0" width="18"/>
    <col collapsed="false" customWidth="true" hidden="false" outlineLevel="0" max="6" min="6" style="0" width="14"/>
    <col collapsed="false" customWidth="true" hidden="false" outlineLevel="0" max="7" min="7" style="0" width="16"/>
  </cols>
  <sheetData>
    <row r="1" customFormat="false" ht="21.75" hidden="false" customHeight="true" outlineLevel="0" collapsed="false">
      <c r="A1" s="1" t="s">
        <v>197</v>
      </c>
      <c r="B1" s="1"/>
      <c r="C1" s="1"/>
      <c r="D1" s="1"/>
      <c r="E1" s="1"/>
      <c r="F1" s="1"/>
      <c r="G1" s="1"/>
    </row>
    <row r="2" customFormat="false" ht="42" hidden="false" customHeight="true" outlineLevel="0" collapsed="false">
      <c r="A2" s="2" t="s">
        <v>198</v>
      </c>
      <c r="B2" s="2"/>
      <c r="C2" s="2"/>
      <c r="D2" s="2"/>
      <c r="E2" s="2"/>
      <c r="F2" s="2"/>
      <c r="G2" s="2"/>
    </row>
    <row r="4" customFormat="false" ht="30" hidden="false" customHeight="true" outlineLevel="0" collapsed="false">
      <c r="A4" s="4" t="s">
        <v>199</v>
      </c>
      <c r="B4" s="4" t="s">
        <v>200</v>
      </c>
      <c r="C4" s="4" t="s">
        <v>201</v>
      </c>
      <c r="D4" s="4" t="s">
        <v>202</v>
      </c>
      <c r="E4" s="4"/>
      <c r="F4" s="4"/>
      <c r="G4" s="4"/>
    </row>
    <row r="5" customFormat="false" ht="15" hidden="false" customHeight="false" outlineLevel="0" collapsed="false">
      <c r="A5" s="10" t="n">
        <v>260</v>
      </c>
      <c r="B5" s="10" t="n">
        <v>68</v>
      </c>
      <c r="C5" s="10" t="n">
        <v>0</v>
      </c>
      <c r="D5" s="10" t="n">
        <v>0</v>
      </c>
    </row>
    <row r="6" customFormat="false" ht="15" hidden="false" customHeight="false" outlineLevel="0" collapsed="false">
      <c r="A6" s="10" t="n">
        <v>260</v>
      </c>
      <c r="B6" s="10" t="n">
        <v>68</v>
      </c>
      <c r="C6" s="10" t="n">
        <v>0.2</v>
      </c>
      <c r="D6" s="10" t="n">
        <v>35</v>
      </c>
    </row>
    <row r="7" customFormat="false" ht="15" hidden="false" customHeight="false" outlineLevel="0" collapsed="false">
      <c r="A7" s="10" t="n">
        <v>260</v>
      </c>
      <c r="B7" s="10" t="n">
        <v>68</v>
      </c>
      <c r="C7" s="10" t="n">
        <v>0.4</v>
      </c>
      <c r="D7" s="10" t="n">
        <v>70</v>
      </c>
    </row>
    <row r="8" customFormat="false" ht="15" hidden="false" customHeight="false" outlineLevel="0" collapsed="false">
      <c r="A8" s="10" t="n">
        <v>260</v>
      </c>
      <c r="B8" s="10" t="n">
        <v>68</v>
      </c>
      <c r="C8" s="10" t="n">
        <v>0.6</v>
      </c>
      <c r="D8" s="10" t="n">
        <v>100</v>
      </c>
    </row>
    <row r="9" customFormat="false" ht="15" hidden="false" customHeight="false" outlineLevel="0" collapsed="false">
      <c r="A9" s="10" t="n">
        <v>260</v>
      </c>
      <c r="B9" s="10" t="n">
        <v>68</v>
      </c>
      <c r="C9" s="10" t="n">
        <v>0.8</v>
      </c>
      <c r="D9" s="10" t="n">
        <v>122</v>
      </c>
    </row>
    <row r="10" customFormat="false" ht="15" hidden="false" customHeight="false" outlineLevel="0" collapsed="false">
      <c r="A10" s="10" t="n">
        <v>260</v>
      </c>
      <c r="B10" s="10" t="n">
        <v>68</v>
      </c>
      <c r="C10" s="10" t="n">
        <v>1</v>
      </c>
      <c r="D10" s="10" t="n">
        <v>138</v>
      </c>
    </row>
    <row r="11" customFormat="false" ht="15" hidden="false" customHeight="false" outlineLevel="0" collapsed="false">
      <c r="A11" s="10" t="n">
        <v>260</v>
      </c>
      <c r="B11" s="10" t="n">
        <v>68</v>
      </c>
      <c r="C11" s="10" t="n">
        <v>1.25</v>
      </c>
      <c r="D11" s="10" t="n">
        <v>146</v>
      </c>
    </row>
    <row r="12" customFormat="false" ht="15" hidden="false" customHeight="false" outlineLevel="0" collapsed="false">
      <c r="A12" s="10" t="n">
        <v>260</v>
      </c>
      <c r="B12" s="10" t="n">
        <v>68</v>
      </c>
      <c r="C12" s="10" t="n">
        <v>1.4</v>
      </c>
      <c r="D12" s="10" t="n">
        <v>140</v>
      </c>
    </row>
    <row r="13" customFormat="false" ht="15" hidden="false" customHeight="false" outlineLevel="0" collapsed="false">
      <c r="A13" s="10" t="n">
        <v>260</v>
      </c>
      <c r="B13" s="10" t="n">
        <v>68</v>
      </c>
      <c r="C13" s="10" t="n">
        <v>1.6</v>
      </c>
      <c r="D13" s="10" t="n">
        <v>120</v>
      </c>
    </row>
    <row r="14" customFormat="false" ht="15" hidden="false" customHeight="false" outlineLevel="0" collapsed="false">
      <c r="A14" s="10" t="n">
        <v>260</v>
      </c>
      <c r="B14" s="10" t="n">
        <v>68</v>
      </c>
      <c r="C14" s="10" t="n">
        <v>1.8</v>
      </c>
      <c r="D14" s="10" t="n">
        <v>95</v>
      </c>
    </row>
    <row r="15" customFormat="false" ht="15" hidden="false" customHeight="false" outlineLevel="0" collapsed="false">
      <c r="A15" s="10" t="n">
        <v>260</v>
      </c>
      <c r="B15" s="10" t="n">
        <v>68</v>
      </c>
      <c r="C15" s="10" t="n">
        <v>2</v>
      </c>
      <c r="D15" s="10" t="n">
        <v>90</v>
      </c>
    </row>
    <row r="16" customFormat="false" ht="15" hidden="false" customHeight="false" outlineLevel="0" collapsed="false">
      <c r="A16" s="10" t="n">
        <v>260</v>
      </c>
      <c r="B16" s="10" t="n">
        <v>68</v>
      </c>
      <c r="C16" s="10" t="n">
        <v>2.5</v>
      </c>
      <c r="D16" s="10" t="n">
        <v>86</v>
      </c>
    </row>
    <row r="17" customFormat="false" ht="15" hidden="false" customHeight="false" outlineLevel="0" collapsed="false">
      <c r="A17" s="10" t="n">
        <v>260</v>
      </c>
      <c r="B17" s="10" t="n">
        <v>68</v>
      </c>
      <c r="C17" s="10" t="n">
        <v>3</v>
      </c>
      <c r="D17" s="10" t="n">
        <v>83</v>
      </c>
    </row>
    <row r="18" customFormat="false" ht="15" hidden="false" customHeight="false" outlineLevel="0" collapsed="false">
      <c r="A18" s="10" t="n">
        <v>260</v>
      </c>
      <c r="B18" s="10" t="n">
        <v>68</v>
      </c>
      <c r="C18" s="10" t="n">
        <v>4</v>
      </c>
      <c r="D18" s="10" t="n">
        <v>78</v>
      </c>
    </row>
    <row r="19" customFormat="false" ht="15" hidden="false" customHeight="false" outlineLevel="0" collapsed="false">
      <c r="A19" s="10" t="n">
        <v>260</v>
      </c>
      <c r="B19" s="10" t="n">
        <v>68</v>
      </c>
      <c r="C19" s="10" t="n">
        <v>5</v>
      </c>
      <c r="D19" s="10" t="n">
        <v>74</v>
      </c>
    </row>
    <row r="20" customFormat="false" ht="15" hidden="false" customHeight="false" outlineLevel="0" collapsed="false">
      <c r="A20" s="10" t="n">
        <v>260</v>
      </c>
      <c r="B20" s="10" t="n">
        <v>68</v>
      </c>
      <c r="C20" s="10" t="n">
        <v>6</v>
      </c>
      <c r="D20" s="10" t="n">
        <v>71</v>
      </c>
    </row>
    <row r="21" customFormat="false" ht="15" hidden="false" customHeight="false" outlineLevel="0" collapsed="false">
      <c r="A21" s="10" t="n">
        <v>260</v>
      </c>
      <c r="B21" s="10" t="n">
        <v>68</v>
      </c>
      <c r="C21" s="10" t="n">
        <v>7</v>
      </c>
      <c r="D21" s="10" t="n">
        <v>69</v>
      </c>
    </row>
    <row r="22" customFormat="false" ht="15" hidden="false" customHeight="false" outlineLevel="0" collapsed="false">
      <c r="A22" s="10" t="n">
        <v>260</v>
      </c>
      <c r="B22" s="10" t="n">
        <v>68</v>
      </c>
      <c r="C22" s="10" t="n">
        <v>8</v>
      </c>
      <c r="D22" s="10" t="n">
        <v>68</v>
      </c>
    </row>
    <row r="23" customFormat="false" ht="15" hidden="false" customHeight="false" outlineLevel="0" collapsed="false">
      <c r="A23" s="10" t="n">
        <v>260</v>
      </c>
      <c r="B23" s="10" t="n">
        <v>68</v>
      </c>
      <c r="C23" s="10" t="n">
        <v>8.8</v>
      </c>
      <c r="D23" s="10" t="n">
        <v>68</v>
      </c>
    </row>
    <row r="24" customFormat="false" ht="15" hidden="false" customHeight="false" outlineLevel="0" collapsed="false">
      <c r="A24" s="10" t="n">
        <v>196</v>
      </c>
      <c r="B24" s="10" t="n">
        <v>131</v>
      </c>
      <c r="C24" s="10" t="n">
        <v>0</v>
      </c>
      <c r="D24" s="10" t="n">
        <v>0</v>
      </c>
    </row>
    <row r="25" customFormat="false" ht="15" hidden="false" customHeight="false" outlineLevel="0" collapsed="false">
      <c r="A25" s="10" t="n">
        <v>196</v>
      </c>
      <c r="B25" s="10" t="n">
        <v>131</v>
      </c>
      <c r="C25" s="10" t="n">
        <v>0.1</v>
      </c>
      <c r="D25" s="10" t="n">
        <v>45</v>
      </c>
    </row>
    <row r="26" customFormat="false" ht="15" hidden="false" customHeight="false" outlineLevel="0" collapsed="false">
      <c r="A26" s="10" t="n">
        <v>196</v>
      </c>
      <c r="B26" s="10" t="n">
        <v>131</v>
      </c>
      <c r="C26" s="10" t="n">
        <v>0.2</v>
      </c>
      <c r="D26" s="10" t="n">
        <v>72</v>
      </c>
    </row>
    <row r="27" customFormat="false" ht="15" hidden="false" customHeight="false" outlineLevel="0" collapsed="false">
      <c r="A27" s="10" t="n">
        <v>196</v>
      </c>
      <c r="B27" s="10" t="n">
        <v>131</v>
      </c>
      <c r="C27" s="10" t="n">
        <v>0.3</v>
      </c>
      <c r="D27" s="10" t="n">
        <v>90</v>
      </c>
    </row>
    <row r="28" customFormat="false" ht="15" hidden="false" customHeight="false" outlineLevel="0" collapsed="false">
      <c r="A28" s="10" t="n">
        <v>196</v>
      </c>
      <c r="B28" s="10" t="n">
        <v>131</v>
      </c>
      <c r="C28" s="10" t="n">
        <v>0.4</v>
      </c>
      <c r="D28" s="10" t="n">
        <v>101</v>
      </c>
    </row>
    <row r="29" customFormat="false" ht="15" hidden="false" customHeight="false" outlineLevel="0" collapsed="false">
      <c r="A29" s="10" t="n">
        <v>196</v>
      </c>
      <c r="B29" s="10" t="n">
        <v>131</v>
      </c>
      <c r="C29" s="10" t="n">
        <v>0.5</v>
      </c>
      <c r="D29" s="10" t="n">
        <v>107</v>
      </c>
    </row>
    <row r="30" customFormat="false" ht="15" hidden="false" customHeight="false" outlineLevel="0" collapsed="false">
      <c r="A30" s="10" t="n">
        <v>196</v>
      </c>
      <c r="B30" s="10" t="n">
        <v>131</v>
      </c>
      <c r="C30" s="10" t="n">
        <v>0.6</v>
      </c>
      <c r="D30" s="10" t="n">
        <v>109</v>
      </c>
    </row>
    <row r="31" customFormat="false" ht="15" hidden="false" customHeight="false" outlineLevel="0" collapsed="false">
      <c r="A31" s="10" t="n">
        <v>196</v>
      </c>
      <c r="B31" s="10" t="n">
        <v>131</v>
      </c>
      <c r="C31" s="10" t="n">
        <v>0.7</v>
      </c>
      <c r="D31" s="10" t="n">
        <v>105</v>
      </c>
    </row>
    <row r="32" customFormat="false" ht="15" hidden="false" customHeight="false" outlineLevel="0" collapsed="false">
      <c r="A32" s="10" t="n">
        <v>196</v>
      </c>
      <c r="B32" s="10" t="n">
        <v>131</v>
      </c>
      <c r="C32" s="10" t="n">
        <v>0.8</v>
      </c>
      <c r="D32" s="10" t="n">
        <v>97</v>
      </c>
    </row>
    <row r="33" customFormat="false" ht="15" hidden="false" customHeight="false" outlineLevel="0" collapsed="false">
      <c r="A33" s="10" t="n">
        <v>196</v>
      </c>
      <c r="B33" s="10" t="n">
        <v>131</v>
      </c>
      <c r="C33" s="10" t="n">
        <v>1</v>
      </c>
      <c r="D33" s="10" t="n">
        <v>85</v>
      </c>
    </row>
    <row r="34" customFormat="false" ht="15" hidden="false" customHeight="false" outlineLevel="0" collapsed="false">
      <c r="A34" s="10" t="n">
        <v>196</v>
      </c>
      <c r="B34" s="10" t="n">
        <v>131</v>
      </c>
      <c r="C34" s="10" t="n">
        <v>1.2</v>
      </c>
      <c r="D34" s="10" t="n">
        <v>78</v>
      </c>
    </row>
    <row r="35" customFormat="false" ht="15" hidden="false" customHeight="false" outlineLevel="0" collapsed="false">
      <c r="A35" s="10" t="n">
        <v>196</v>
      </c>
      <c r="B35" s="10" t="n">
        <v>131</v>
      </c>
      <c r="C35" s="10" t="n">
        <v>1.5</v>
      </c>
      <c r="D35" s="10" t="n">
        <v>72</v>
      </c>
    </row>
    <row r="36" customFormat="false" ht="15" hidden="false" customHeight="false" outlineLevel="0" collapsed="false">
      <c r="A36" s="10" t="n">
        <v>196</v>
      </c>
      <c r="B36" s="10" t="n">
        <v>131</v>
      </c>
      <c r="C36" s="10" t="n">
        <v>2</v>
      </c>
      <c r="D36" s="10" t="n">
        <v>66</v>
      </c>
    </row>
    <row r="37" customFormat="false" ht="15" hidden="false" customHeight="false" outlineLevel="0" collapsed="false">
      <c r="A37" s="10" t="n">
        <v>196</v>
      </c>
      <c r="B37" s="10" t="n">
        <v>131</v>
      </c>
      <c r="C37" s="10" t="n">
        <v>3</v>
      </c>
      <c r="D37" s="10" t="n">
        <v>60</v>
      </c>
    </row>
    <row r="38" customFormat="false" ht="15" hidden="false" customHeight="false" outlineLevel="0" collapsed="false">
      <c r="A38" s="10" t="n">
        <v>196</v>
      </c>
      <c r="B38" s="10" t="n">
        <v>131</v>
      </c>
      <c r="C38" s="10" t="n">
        <v>4</v>
      </c>
      <c r="D38" s="10" t="n">
        <v>57</v>
      </c>
    </row>
    <row r="39" customFormat="false" ht="15" hidden="false" customHeight="false" outlineLevel="0" collapsed="false">
      <c r="A39" s="10" t="n">
        <v>196</v>
      </c>
      <c r="B39" s="10" t="n">
        <v>131</v>
      </c>
      <c r="C39" s="10" t="n">
        <v>5</v>
      </c>
      <c r="D39" s="10" t="n">
        <v>55</v>
      </c>
    </row>
    <row r="40" customFormat="false" ht="15" hidden="false" customHeight="false" outlineLevel="0" collapsed="false">
      <c r="A40" s="10" t="n">
        <v>196</v>
      </c>
      <c r="B40" s="10" t="n">
        <v>131</v>
      </c>
      <c r="C40" s="10" t="n">
        <v>6</v>
      </c>
      <c r="D40" s="10" t="n">
        <v>54</v>
      </c>
    </row>
    <row r="41" customFormat="false" ht="15" hidden="false" customHeight="false" outlineLevel="0" collapsed="false">
      <c r="A41" s="10" t="n">
        <v>196</v>
      </c>
      <c r="B41" s="10" t="n">
        <v>131</v>
      </c>
      <c r="C41" s="10" t="n">
        <v>7</v>
      </c>
      <c r="D41" s="10" t="n">
        <v>53</v>
      </c>
    </row>
    <row r="42" customFormat="false" ht="15" hidden="false" customHeight="false" outlineLevel="0" collapsed="false">
      <c r="A42" s="10" t="n">
        <v>196</v>
      </c>
      <c r="B42" s="10" t="n">
        <v>131</v>
      </c>
      <c r="C42" s="10" t="n">
        <v>8</v>
      </c>
      <c r="D42" s="10" t="n">
        <v>53</v>
      </c>
    </row>
    <row r="43" customFormat="false" ht="15" hidden="false" customHeight="false" outlineLevel="0" collapsed="false">
      <c r="A43" s="10" t="n">
        <v>196</v>
      </c>
      <c r="B43" s="10" t="n">
        <v>131</v>
      </c>
      <c r="C43" s="10" t="n">
        <v>8.8</v>
      </c>
      <c r="D43" s="10" t="n">
        <v>53</v>
      </c>
    </row>
    <row r="44" customFormat="false" ht="15" hidden="false" customHeight="false" outlineLevel="0" collapsed="false">
      <c r="A44" s="10" t="n">
        <v>131</v>
      </c>
      <c r="B44" s="10" t="n">
        <v>196</v>
      </c>
      <c r="C44" s="10" t="n">
        <v>0</v>
      </c>
      <c r="D44" s="10" t="n">
        <v>0</v>
      </c>
    </row>
    <row r="45" customFormat="false" ht="15" hidden="false" customHeight="false" outlineLevel="0" collapsed="false">
      <c r="A45" s="10" t="n">
        <v>131</v>
      </c>
      <c r="B45" s="10" t="n">
        <v>196</v>
      </c>
      <c r="C45" s="10" t="n">
        <v>0.2</v>
      </c>
      <c r="D45" s="10" t="n">
        <v>18</v>
      </c>
    </row>
    <row r="46" customFormat="false" ht="15" hidden="false" customHeight="false" outlineLevel="0" collapsed="false">
      <c r="A46" s="10" t="n">
        <v>131</v>
      </c>
      <c r="B46" s="10" t="n">
        <v>196</v>
      </c>
      <c r="C46" s="10" t="n">
        <v>0.4</v>
      </c>
      <c r="D46" s="10" t="n">
        <v>34</v>
      </c>
    </row>
    <row r="47" customFormat="false" ht="15" hidden="false" customHeight="false" outlineLevel="0" collapsed="false">
      <c r="A47" s="10" t="n">
        <v>131</v>
      </c>
      <c r="B47" s="10" t="n">
        <v>196</v>
      </c>
      <c r="C47" s="10" t="n">
        <v>0.6</v>
      </c>
      <c r="D47" s="10" t="n">
        <v>46</v>
      </c>
    </row>
    <row r="48" customFormat="false" ht="15" hidden="false" customHeight="false" outlineLevel="0" collapsed="false">
      <c r="A48" s="10" t="n">
        <v>131</v>
      </c>
      <c r="B48" s="10" t="n">
        <v>196</v>
      </c>
      <c r="C48" s="10" t="n">
        <v>0.8</v>
      </c>
      <c r="D48" s="10" t="n">
        <v>55</v>
      </c>
    </row>
    <row r="49" customFormat="false" ht="15" hidden="false" customHeight="false" outlineLevel="0" collapsed="false">
      <c r="A49" s="10" t="n">
        <v>131</v>
      </c>
      <c r="B49" s="10" t="n">
        <v>196</v>
      </c>
      <c r="C49" s="10" t="n">
        <v>1</v>
      </c>
      <c r="D49" s="10" t="n">
        <v>61</v>
      </c>
    </row>
    <row r="50" customFormat="false" ht="15" hidden="false" customHeight="false" outlineLevel="0" collapsed="false">
      <c r="A50" s="10" t="n">
        <v>131</v>
      </c>
      <c r="B50" s="10" t="n">
        <v>196</v>
      </c>
      <c r="C50" s="10" t="n">
        <v>1.2</v>
      </c>
      <c r="D50" s="10" t="n">
        <v>64</v>
      </c>
    </row>
    <row r="51" customFormat="false" ht="15" hidden="false" customHeight="false" outlineLevel="0" collapsed="false">
      <c r="A51" s="10" t="n">
        <v>131</v>
      </c>
      <c r="B51" s="10" t="n">
        <v>196</v>
      </c>
      <c r="C51" s="10" t="n">
        <v>1.4</v>
      </c>
      <c r="D51" s="10" t="n">
        <v>60</v>
      </c>
    </row>
    <row r="52" customFormat="false" ht="15" hidden="false" customHeight="false" outlineLevel="0" collapsed="false">
      <c r="A52" s="10" t="n">
        <v>131</v>
      </c>
      <c r="B52" s="10" t="n">
        <v>196</v>
      </c>
      <c r="C52" s="10" t="n">
        <v>1.6</v>
      </c>
      <c r="D52" s="10" t="n">
        <v>52</v>
      </c>
    </row>
    <row r="53" customFormat="false" ht="15" hidden="false" customHeight="false" outlineLevel="0" collapsed="false">
      <c r="A53" s="10" t="n">
        <v>131</v>
      </c>
      <c r="B53" s="10" t="n">
        <v>196</v>
      </c>
      <c r="C53" s="10" t="n">
        <v>1.8</v>
      </c>
      <c r="D53" s="10" t="n">
        <v>47</v>
      </c>
    </row>
    <row r="54" customFormat="false" ht="15" hidden="false" customHeight="false" outlineLevel="0" collapsed="false">
      <c r="A54" s="10" t="n">
        <v>131</v>
      </c>
      <c r="B54" s="10" t="n">
        <v>196</v>
      </c>
      <c r="C54" s="10" t="n">
        <v>2</v>
      </c>
      <c r="D54" s="10" t="n">
        <v>45</v>
      </c>
    </row>
    <row r="55" customFormat="false" ht="15" hidden="false" customHeight="false" outlineLevel="0" collapsed="false">
      <c r="A55" s="10" t="n">
        <v>131</v>
      </c>
      <c r="B55" s="10" t="n">
        <v>196</v>
      </c>
      <c r="C55" s="10" t="n">
        <v>2.5</v>
      </c>
      <c r="D55" s="10" t="n">
        <v>43</v>
      </c>
    </row>
    <row r="56" customFormat="false" ht="15" hidden="false" customHeight="false" outlineLevel="0" collapsed="false">
      <c r="A56" s="10" t="n">
        <v>131</v>
      </c>
      <c r="B56" s="10" t="n">
        <v>196</v>
      </c>
      <c r="C56" s="10" t="n">
        <v>3</v>
      </c>
      <c r="D56" s="10" t="n">
        <v>41</v>
      </c>
    </row>
    <row r="57" customFormat="false" ht="15" hidden="false" customHeight="false" outlineLevel="0" collapsed="false">
      <c r="A57" s="10" t="n">
        <v>131</v>
      </c>
      <c r="B57" s="10" t="n">
        <v>196</v>
      </c>
      <c r="C57" s="10" t="n">
        <v>4</v>
      </c>
      <c r="D57" s="10" t="n">
        <v>39</v>
      </c>
    </row>
    <row r="58" customFormat="false" ht="15" hidden="false" customHeight="false" outlineLevel="0" collapsed="false">
      <c r="A58" s="10" t="n">
        <v>131</v>
      </c>
      <c r="B58" s="10" t="n">
        <v>196</v>
      </c>
      <c r="C58" s="10" t="n">
        <v>5</v>
      </c>
      <c r="D58" s="10" t="n">
        <v>37</v>
      </c>
    </row>
    <row r="59" customFormat="false" ht="15" hidden="false" customHeight="false" outlineLevel="0" collapsed="false">
      <c r="A59" s="10" t="n">
        <v>131</v>
      </c>
      <c r="B59" s="10" t="n">
        <v>196</v>
      </c>
      <c r="C59" s="10" t="n">
        <v>6</v>
      </c>
      <c r="D59" s="10" t="n">
        <v>36</v>
      </c>
    </row>
    <row r="60" customFormat="false" ht="15" hidden="false" customHeight="false" outlineLevel="0" collapsed="false">
      <c r="A60" s="10" t="n">
        <v>131</v>
      </c>
      <c r="B60" s="10" t="n">
        <v>196</v>
      </c>
      <c r="C60" s="10" t="n">
        <v>7</v>
      </c>
      <c r="D60" s="10" t="n">
        <v>35</v>
      </c>
    </row>
    <row r="61" customFormat="false" ht="15" hidden="false" customHeight="false" outlineLevel="0" collapsed="false">
      <c r="A61" s="10" t="n">
        <v>131</v>
      </c>
      <c r="B61" s="10" t="n">
        <v>196</v>
      </c>
      <c r="C61" s="10" t="n">
        <v>8</v>
      </c>
      <c r="D61" s="10" t="n">
        <v>34</v>
      </c>
    </row>
    <row r="62" customFormat="false" ht="15" hidden="false" customHeight="false" outlineLevel="0" collapsed="false">
      <c r="A62" s="10" t="n">
        <v>131</v>
      </c>
      <c r="B62" s="10" t="n">
        <v>196</v>
      </c>
      <c r="C62" s="10" t="n">
        <v>8.8</v>
      </c>
      <c r="D62" s="10" t="n">
        <v>34</v>
      </c>
    </row>
    <row r="63" customFormat="false" ht="15" hidden="false" customHeight="false" outlineLevel="0" collapsed="false">
      <c r="A63" s="10" t="n">
        <v>68</v>
      </c>
      <c r="B63" s="10" t="n">
        <v>260</v>
      </c>
      <c r="C63" s="10" t="n">
        <v>0</v>
      </c>
      <c r="D63" s="10" t="n">
        <v>0</v>
      </c>
    </row>
    <row r="64" customFormat="false" ht="15" hidden="false" customHeight="false" outlineLevel="0" collapsed="false">
      <c r="A64" s="10" t="n">
        <v>68</v>
      </c>
      <c r="B64" s="10" t="n">
        <v>260</v>
      </c>
      <c r="C64" s="10" t="n">
        <v>0.2</v>
      </c>
      <c r="D64" s="10" t="n">
        <v>10</v>
      </c>
    </row>
    <row r="65" customFormat="false" ht="15" hidden="false" customHeight="false" outlineLevel="0" collapsed="false">
      <c r="A65" s="10" t="n">
        <v>68</v>
      </c>
      <c r="B65" s="10" t="n">
        <v>260</v>
      </c>
      <c r="C65" s="10" t="n">
        <v>0.4</v>
      </c>
      <c r="D65" s="10" t="n">
        <v>19</v>
      </c>
    </row>
    <row r="66" customFormat="false" ht="15" hidden="false" customHeight="false" outlineLevel="0" collapsed="false">
      <c r="A66" s="10" t="n">
        <v>68</v>
      </c>
      <c r="B66" s="10" t="n">
        <v>260</v>
      </c>
      <c r="C66" s="10" t="n">
        <v>0.6</v>
      </c>
      <c r="D66" s="10" t="n">
        <v>26</v>
      </c>
    </row>
    <row r="67" customFormat="false" ht="15" hidden="false" customHeight="false" outlineLevel="0" collapsed="false">
      <c r="A67" s="10" t="n">
        <v>68</v>
      </c>
      <c r="B67" s="10" t="n">
        <v>260</v>
      </c>
      <c r="C67" s="10" t="n">
        <v>0.8</v>
      </c>
      <c r="D67" s="10" t="n">
        <v>31</v>
      </c>
    </row>
    <row r="68" customFormat="false" ht="15" hidden="false" customHeight="false" outlineLevel="0" collapsed="false">
      <c r="A68" s="10" t="n">
        <v>68</v>
      </c>
      <c r="B68" s="10" t="n">
        <v>260</v>
      </c>
      <c r="C68" s="10" t="n">
        <v>1</v>
      </c>
      <c r="D68" s="10" t="n">
        <v>35</v>
      </c>
    </row>
    <row r="69" customFormat="false" ht="15" hidden="false" customHeight="false" outlineLevel="0" collapsed="false">
      <c r="A69" s="10" t="n">
        <v>68</v>
      </c>
      <c r="B69" s="10" t="n">
        <v>260</v>
      </c>
      <c r="C69" s="10" t="n">
        <v>1.3</v>
      </c>
      <c r="D69" s="10" t="n">
        <v>37</v>
      </c>
    </row>
    <row r="70" customFormat="false" ht="15" hidden="false" customHeight="false" outlineLevel="0" collapsed="false">
      <c r="A70" s="10" t="n">
        <v>68</v>
      </c>
      <c r="B70" s="10" t="n">
        <v>260</v>
      </c>
      <c r="C70" s="10" t="n">
        <v>1.5</v>
      </c>
      <c r="D70" s="10" t="n">
        <v>35</v>
      </c>
    </row>
    <row r="71" customFormat="false" ht="15" hidden="false" customHeight="false" outlineLevel="0" collapsed="false">
      <c r="A71" s="10" t="n">
        <v>68</v>
      </c>
      <c r="B71" s="10" t="n">
        <v>260</v>
      </c>
      <c r="C71" s="10" t="n">
        <v>1.8</v>
      </c>
      <c r="D71" s="10" t="n">
        <v>31</v>
      </c>
    </row>
    <row r="72" customFormat="false" ht="15" hidden="false" customHeight="false" outlineLevel="0" collapsed="false">
      <c r="A72" s="10" t="n">
        <v>68</v>
      </c>
      <c r="B72" s="10" t="n">
        <v>260</v>
      </c>
      <c r="C72" s="10" t="n">
        <v>2</v>
      </c>
      <c r="D72" s="10" t="n">
        <v>30</v>
      </c>
    </row>
    <row r="73" customFormat="false" ht="15" hidden="false" customHeight="false" outlineLevel="0" collapsed="false">
      <c r="A73" s="10" t="n">
        <v>68</v>
      </c>
      <c r="B73" s="10" t="n">
        <v>260</v>
      </c>
      <c r="C73" s="10" t="n">
        <v>2.5</v>
      </c>
      <c r="D73" s="10" t="n">
        <v>30</v>
      </c>
    </row>
    <row r="74" customFormat="false" ht="15" hidden="false" customHeight="false" outlineLevel="0" collapsed="false">
      <c r="A74" s="10" t="n">
        <v>68</v>
      </c>
      <c r="B74" s="10" t="n">
        <v>260</v>
      </c>
      <c r="C74" s="10" t="n">
        <v>3</v>
      </c>
      <c r="D74" s="10" t="n">
        <v>29</v>
      </c>
    </row>
    <row r="75" customFormat="false" ht="15" hidden="false" customHeight="false" outlineLevel="0" collapsed="false">
      <c r="A75" s="10" t="n">
        <v>68</v>
      </c>
      <c r="B75" s="10" t="n">
        <v>260</v>
      </c>
      <c r="C75" s="10" t="n">
        <v>4</v>
      </c>
      <c r="D75" s="10" t="n">
        <v>29</v>
      </c>
    </row>
    <row r="76" customFormat="false" ht="15" hidden="false" customHeight="false" outlineLevel="0" collapsed="false">
      <c r="A76" s="10" t="n">
        <v>68</v>
      </c>
      <c r="B76" s="10" t="n">
        <v>260</v>
      </c>
      <c r="C76" s="10" t="n">
        <v>5</v>
      </c>
      <c r="D76" s="10" t="n">
        <v>28</v>
      </c>
    </row>
    <row r="77" customFormat="false" ht="15" hidden="false" customHeight="false" outlineLevel="0" collapsed="false">
      <c r="A77" s="10" t="n">
        <v>68</v>
      </c>
      <c r="B77" s="10" t="n">
        <v>260</v>
      </c>
      <c r="C77" s="10" t="n">
        <v>6</v>
      </c>
      <c r="D77" s="10" t="n">
        <v>28</v>
      </c>
    </row>
    <row r="78" customFormat="false" ht="15" hidden="false" customHeight="false" outlineLevel="0" collapsed="false">
      <c r="A78" s="10" t="n">
        <v>68</v>
      </c>
      <c r="B78" s="10" t="n">
        <v>260</v>
      </c>
      <c r="C78" s="10" t="n">
        <v>7</v>
      </c>
      <c r="D78" s="10" t="n">
        <v>28</v>
      </c>
    </row>
    <row r="79" customFormat="false" ht="15" hidden="false" customHeight="false" outlineLevel="0" collapsed="false">
      <c r="A79" s="10" t="n">
        <v>68</v>
      </c>
      <c r="B79" s="10" t="n">
        <v>260</v>
      </c>
      <c r="C79" s="10" t="n">
        <v>8</v>
      </c>
      <c r="D79" s="10" t="n">
        <v>28</v>
      </c>
    </row>
    <row r="80" customFormat="false" ht="15" hidden="false" customHeight="false" outlineLevel="0" collapsed="false">
      <c r="A80" s="10" t="n">
        <v>68</v>
      </c>
      <c r="B80" s="10" t="n">
        <v>260</v>
      </c>
      <c r="C80" s="10" t="n">
        <v>8.8</v>
      </c>
      <c r="D80" s="10" t="n">
        <v>27</v>
      </c>
    </row>
    <row r="82" customFormat="false" ht="15" hidden="false" customHeight="false" outlineLevel="0" collapsed="false">
      <c r="A82" s="3" t="s">
        <v>203</v>
      </c>
    </row>
    <row r="83" customFormat="false" ht="30" hidden="false" customHeight="true" outlineLevel="0" collapsed="false">
      <c r="A83" s="4" t="s">
        <v>204</v>
      </c>
      <c r="B83" s="4" t="s">
        <v>205</v>
      </c>
      <c r="C83" s="4" t="s">
        <v>206</v>
      </c>
      <c r="D83" s="4" t="s">
        <v>207</v>
      </c>
      <c r="E83" s="4" t="s">
        <v>208</v>
      </c>
      <c r="F83" s="4" t="s">
        <v>209</v>
      </c>
      <c r="G83" s="4" t="s">
        <v>210</v>
      </c>
    </row>
    <row r="84" customFormat="false" ht="15" hidden="false" customHeight="false" outlineLevel="0" collapsed="false">
      <c r="A84" s="5" t="n">
        <v>68</v>
      </c>
      <c r="B84" s="5" t="n">
        <v>37</v>
      </c>
      <c r="C84" s="5" t="n">
        <v>28</v>
      </c>
      <c r="D84" s="12" t="n">
        <f aca="false">B84/A84</f>
        <v>0.544117647058824</v>
      </c>
      <c r="E84" s="12" t="n">
        <f aca="false">C84/A84</f>
        <v>0.411764705882353</v>
      </c>
      <c r="F84" s="12" t="n">
        <f aca="false">DEGREES(ATAN(B84/A84))</f>
        <v>28.5513918729602</v>
      </c>
      <c r="G84" s="12" t="n">
        <f aca="false">DEGREES(ATAN(C84/A84))</f>
        <v>22.3801350519596</v>
      </c>
    </row>
    <row r="85" customFormat="false" ht="15" hidden="false" customHeight="false" outlineLevel="0" collapsed="false">
      <c r="A85" s="5" t="n">
        <v>131</v>
      </c>
      <c r="B85" s="5" t="n">
        <v>64</v>
      </c>
      <c r="C85" s="5" t="n">
        <v>34</v>
      </c>
      <c r="D85" s="12" t="n">
        <f aca="false">B85/A85</f>
        <v>0.488549618320611</v>
      </c>
      <c r="E85" s="12" t="n">
        <f aca="false">C85/A85</f>
        <v>0.259541984732824</v>
      </c>
      <c r="F85" s="12" t="n">
        <f aca="false">DEGREES(ATAN(B85/A85))</f>
        <v>26.0378042854107</v>
      </c>
      <c r="G85" s="12" t="n">
        <f aca="false">DEGREES(ATAN(C85/A85))</f>
        <v>14.5496327701223</v>
      </c>
    </row>
    <row r="86" customFormat="false" ht="15" hidden="false" customHeight="false" outlineLevel="0" collapsed="false">
      <c r="A86" s="5" t="n">
        <v>196</v>
      </c>
      <c r="B86" s="5" t="n">
        <v>109</v>
      </c>
      <c r="C86" s="5" t="n">
        <v>53</v>
      </c>
      <c r="D86" s="12" t="n">
        <f aca="false">B86/A86</f>
        <v>0.556122448979592</v>
      </c>
      <c r="E86" s="12" t="n">
        <f aca="false">C86/A86</f>
        <v>0.270408163265306</v>
      </c>
      <c r="F86" s="12" t="n">
        <f aca="false">DEGREES(ATAN(B86/A86))</f>
        <v>29.0794182073192</v>
      </c>
      <c r="G86" s="12" t="n">
        <f aca="false">DEGREES(ATAN(C86/A86))</f>
        <v>15.1313699116513</v>
      </c>
    </row>
    <row r="87" customFormat="false" ht="15" hidden="false" customHeight="false" outlineLevel="0" collapsed="false">
      <c r="A87" s="5" t="n">
        <v>260</v>
      </c>
      <c r="B87" s="5" t="n">
        <v>146</v>
      </c>
      <c r="C87" s="5" t="n">
        <v>68</v>
      </c>
      <c r="D87" s="12" t="n">
        <f aca="false">B87/A87</f>
        <v>0.561538461538462</v>
      </c>
      <c r="E87" s="12" t="n">
        <f aca="false">C87/A87</f>
        <v>0.261538461538462</v>
      </c>
      <c r="F87" s="12" t="n">
        <f aca="false">DEGREES(ATAN(B87/A87))</f>
        <v>29.3158859729592</v>
      </c>
      <c r="G87" s="12" t="n">
        <f aca="false">DEGREES(ATAN(C87/A87))</f>
        <v>14.6567511157604</v>
      </c>
    </row>
    <row r="89" customFormat="false" ht="15" hidden="false" customHeight="false" outlineLevel="0" collapsed="false">
      <c r="A89" s="11" t="s">
        <v>211</v>
      </c>
      <c r="B89" s="5" t="s">
        <v>212</v>
      </c>
      <c r="C89" s="12" t="n">
        <f aca="false">SLOPE(B84:B87,A84:A87)</f>
        <v>0.580634955402232</v>
      </c>
      <c r="D89" s="5" t="s">
        <v>213</v>
      </c>
      <c r="E89" s="12" t="n">
        <f aca="false">DEGREES(ATAN(C89))</f>
        <v>30.1409482358216</v>
      </c>
      <c r="F89" s="5" t="s">
        <v>214</v>
      </c>
      <c r="G89" s="12" t="n">
        <f aca="false">INTERCEPT(B84:B87,A84:A87)</f>
        <v>-6.07897394711544</v>
      </c>
    </row>
    <row r="90" customFormat="false" ht="15" hidden="false" customHeight="false" outlineLevel="0" collapsed="false">
      <c r="A90" s="11" t="s">
        <v>215</v>
      </c>
      <c r="B90" s="5" t="s">
        <v>212</v>
      </c>
      <c r="C90" s="12" t="n">
        <f aca="false">SLOPE(C84:C87,A84:A87)</f>
        <v>0.217074921817009</v>
      </c>
      <c r="D90" s="5" t="s">
        <v>213</v>
      </c>
      <c r="E90" s="12" t="n">
        <f aca="false">DEGREES(ATAN(C90))</f>
        <v>12.2474632305548</v>
      </c>
      <c r="F90" s="5" t="s">
        <v>214</v>
      </c>
      <c r="G90" s="12" t="n">
        <f aca="false">INTERCEPT(C84:C87,A84:A87)</f>
        <v>10.2039815524647</v>
      </c>
    </row>
    <row r="91" customFormat="false" ht="15" hidden="false" customHeight="false" outlineLevel="0" collapsed="false">
      <c r="A91" s="11" t="s">
        <v>216</v>
      </c>
      <c r="B91" s="5" t="s">
        <v>212</v>
      </c>
      <c r="C91" s="12" t="n">
        <f aca="false">SUMPRODUCT(A84:A87,B84:B87)/SUMPRODUCT(A84:A87,A84:A87)</f>
        <v>0.549479268550324</v>
      </c>
      <c r="D91" s="5" t="s">
        <v>213</v>
      </c>
      <c r="E91" s="12" t="n">
        <f aca="false">DEGREES(ATAN(C91))</f>
        <v>28.7878822077315</v>
      </c>
      <c r="F91" s="5" t="s">
        <v>217</v>
      </c>
      <c r="G91" s="5" t="s">
        <v>218</v>
      </c>
    </row>
    <row r="92" customFormat="false" ht="15" hidden="false" customHeight="false" outlineLevel="0" collapsed="false">
      <c r="A92" s="11" t="s">
        <v>219</v>
      </c>
      <c r="B92" s="5" t="s">
        <v>212</v>
      </c>
      <c r="C92" s="12" t="n">
        <f aca="false">SUMPRODUCT(A84:A87,C84:C87)/SUMPRODUCT(A84:A87,A84:A87)</f>
        <v>0.269371914147777</v>
      </c>
      <c r="D92" s="5" t="s">
        <v>213</v>
      </c>
      <c r="E92" s="12" t="n">
        <f aca="false">DEGREES(ATAN(C92))</f>
        <v>15.0760283301289</v>
      </c>
      <c r="F92" s="5" t="s">
        <v>220</v>
      </c>
      <c r="G92" s="5" t="s">
        <v>221</v>
      </c>
    </row>
    <row r="93" customFormat="false" ht="15" hidden="false" customHeight="false" outlineLevel="0" collapsed="false">
      <c r="A93" s="11" t="s">
        <v>222</v>
      </c>
      <c r="B93" s="5" t="s">
        <v>212</v>
      </c>
      <c r="C93" s="12" t="n">
        <f aca="false">SUMPRODUCT(A85:A87,C85:C87)/SUMPRODUCT(A85:A87,A85:A87)</f>
        <v>0.264026563400635</v>
      </c>
      <c r="D93" s="5" t="s">
        <v>213</v>
      </c>
      <c r="E93" s="12" t="n">
        <f aca="false">DEGREES(ATAN(C93))</f>
        <v>14.7901004116402</v>
      </c>
      <c r="F93" s="5"/>
      <c r="G93" s="5" t="s">
        <v>223</v>
      </c>
    </row>
    <row r="95" customFormat="false" ht="117" hidden="false" customHeight="true" outlineLevel="0" collapsed="false">
      <c r="A95" s="7" t="s">
        <v>224</v>
      </c>
      <c r="B95" s="7"/>
      <c r="C95" s="7"/>
      <c r="D95" s="7"/>
      <c r="E95" s="7"/>
      <c r="F95" s="7"/>
      <c r="G95" s="7"/>
    </row>
    <row r="97" customFormat="false" ht="39" hidden="false" customHeight="true" outlineLevel="0" collapsed="false">
      <c r="A97" s="7" t="s">
        <v>225</v>
      </c>
      <c r="B97" s="7"/>
      <c r="C97" s="7"/>
      <c r="D97" s="7"/>
      <c r="E97" s="7"/>
      <c r="F97" s="7"/>
      <c r="G97" s="7"/>
    </row>
  </sheetData>
  <mergeCells count="4">
    <mergeCell ref="A1:G1"/>
    <mergeCell ref="A2:G2"/>
    <mergeCell ref="A95:G95"/>
    <mergeCell ref="A97:G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5" min="2" style="0" width="22"/>
    <col collapsed="false" customWidth="true" hidden="false" outlineLevel="0" max="6" min="6" style="0" width="3"/>
  </cols>
  <sheetData>
    <row r="1" customFormat="false" ht="21.75" hidden="false" customHeight="true" outlineLevel="0" collapsed="false">
      <c r="A1" s="1" t="s">
        <v>226</v>
      </c>
      <c r="B1" s="1"/>
      <c r="C1" s="1"/>
      <c r="D1" s="1"/>
      <c r="E1" s="1"/>
      <c r="F1" s="1"/>
    </row>
    <row r="2" customFormat="false" ht="42" hidden="false" customHeight="true" outlineLevel="0" collapsed="false">
      <c r="A2" s="2" t="s">
        <v>227</v>
      </c>
      <c r="B2" s="2"/>
      <c r="C2" s="2"/>
      <c r="D2" s="2"/>
      <c r="E2" s="2"/>
      <c r="F2" s="2"/>
    </row>
    <row r="4" customFormat="false" ht="15" hidden="false" customHeight="false" outlineLevel="0" collapsed="false">
      <c r="A4" s="3" t="s">
        <v>228</v>
      </c>
    </row>
    <row r="5" customFormat="false" ht="30" hidden="false" customHeight="true" outlineLevel="0" collapsed="false">
      <c r="A5" s="4" t="s">
        <v>229</v>
      </c>
      <c r="B5" s="4" t="s">
        <v>230</v>
      </c>
      <c r="C5" s="4" t="s">
        <v>231</v>
      </c>
      <c r="D5" s="4" t="s">
        <v>232</v>
      </c>
      <c r="E5" s="4"/>
      <c r="F5" s="4"/>
    </row>
    <row r="6" customFormat="false" ht="15" hidden="false" customHeight="false" outlineLevel="0" collapsed="false">
      <c r="A6" s="5" t="s">
        <v>233</v>
      </c>
      <c r="B6" s="15" t="n">
        <v>17.05</v>
      </c>
      <c r="C6" s="15" t="n">
        <v>-2.75</v>
      </c>
      <c r="D6" s="12" t="n">
        <f aca="false">-B6/C6</f>
        <v>6.2</v>
      </c>
    </row>
    <row r="7" customFormat="false" ht="15" hidden="false" customHeight="false" outlineLevel="0" collapsed="false">
      <c r="A7" s="5" t="s">
        <v>234</v>
      </c>
      <c r="B7" s="15" t="n">
        <v>17.95</v>
      </c>
      <c r="C7" s="15" t="n">
        <v>-2.11</v>
      </c>
      <c r="D7" s="12" t="n">
        <f aca="false">-B7/C7</f>
        <v>8.50710900473934</v>
      </c>
    </row>
    <row r="9" customFormat="false" ht="15" hidden="false" customHeight="false" outlineLevel="0" collapsed="false">
      <c r="A9" s="3" t="s">
        <v>235</v>
      </c>
    </row>
    <row r="10" customFormat="false" ht="15" hidden="false" customHeight="false" outlineLevel="0" collapsed="false">
      <c r="A10" s="5" t="s">
        <v>236</v>
      </c>
      <c r="B10" s="12" t="n">
        <f aca="false">($B$6-$B$7)/($C$7-$C$6)</f>
        <v>-1.40625</v>
      </c>
      <c r="C10" s="5" t="s">
        <v>237</v>
      </c>
      <c r="D10" s="12" t="n">
        <f aca="false">$B$6+$C$6*B10</f>
        <v>20.9171875</v>
      </c>
    </row>
    <row r="12" customFormat="false" ht="15" hidden="false" customHeight="false" outlineLevel="0" collapsed="false">
      <c r="A12" s="3" t="s">
        <v>238</v>
      </c>
    </row>
    <row r="13" customFormat="false" ht="30" hidden="false" customHeight="true" outlineLevel="0" collapsed="false">
      <c r="A13" s="4" t="s">
        <v>214</v>
      </c>
      <c r="B13" s="4" t="s">
        <v>239</v>
      </c>
      <c r="C13" s="4" t="s">
        <v>240</v>
      </c>
      <c r="D13" s="4" t="s">
        <v>241</v>
      </c>
      <c r="E13" s="4" t="s">
        <v>242</v>
      </c>
    </row>
    <row r="14" customFormat="false" ht="15" hidden="false" customHeight="false" outlineLevel="0" collapsed="false">
      <c r="A14" s="10" t="n">
        <v>0</v>
      </c>
      <c r="B14" s="10" t="n">
        <v>17</v>
      </c>
      <c r="C14" s="10" t="n">
        <v>18</v>
      </c>
      <c r="D14" s="10" t="n">
        <f aca="false">$B$6+$C$6*$A14</f>
        <v>17.05</v>
      </c>
      <c r="E14" s="10" t="n">
        <f aca="false">$B$7+$C$7*$A14</f>
        <v>17.95</v>
      </c>
    </row>
    <row r="15" customFormat="false" ht="15" hidden="false" customHeight="false" outlineLevel="0" collapsed="false">
      <c r="A15" s="10" t="n">
        <v>1</v>
      </c>
      <c r="B15" s="10" t="n">
        <v>14.3</v>
      </c>
      <c r="C15" s="10" t="n">
        <v>15.8</v>
      </c>
      <c r="D15" s="10" t="n">
        <f aca="false">$B$6+$C$6*$A15</f>
        <v>14.3</v>
      </c>
      <c r="E15" s="10" t="n">
        <f aca="false">$B$7+$C$7*$A15</f>
        <v>15.84</v>
      </c>
    </row>
    <row r="16" customFormat="false" ht="15" hidden="false" customHeight="false" outlineLevel="0" collapsed="false">
      <c r="A16" s="10" t="n">
        <v>2</v>
      </c>
      <c r="B16" s="10" t="n">
        <v>11.6</v>
      </c>
      <c r="C16" s="10" t="n">
        <v>13.8</v>
      </c>
      <c r="D16" s="10" t="n">
        <f aca="false">$B$6+$C$6*$A16</f>
        <v>11.55</v>
      </c>
      <c r="E16" s="10" t="n">
        <f aca="false">$B$7+$C$7*$A16</f>
        <v>13.73</v>
      </c>
    </row>
    <row r="17" customFormat="false" ht="15" hidden="false" customHeight="false" outlineLevel="0" collapsed="false">
      <c r="A17" s="10" t="n">
        <v>3</v>
      </c>
      <c r="B17" s="10" t="n">
        <v>8.9</v>
      </c>
      <c r="C17" s="10" t="n">
        <v>11.7</v>
      </c>
      <c r="D17" s="10" t="n">
        <f aca="false">$B$6+$C$6*$A17</f>
        <v>8.8</v>
      </c>
      <c r="E17" s="10" t="n">
        <f aca="false">$B$7+$C$7*$A17</f>
        <v>11.62</v>
      </c>
    </row>
    <row r="18" customFormat="false" ht="15" hidden="false" customHeight="false" outlineLevel="0" collapsed="false">
      <c r="A18" s="10" t="n">
        <v>4</v>
      </c>
      <c r="B18" s="10" t="n">
        <v>6.1</v>
      </c>
      <c r="C18" s="10" t="n">
        <v>9.6</v>
      </c>
      <c r="D18" s="10" t="n">
        <f aca="false">$B$6+$C$6*$A18</f>
        <v>6.05</v>
      </c>
      <c r="E18" s="10" t="n">
        <f aca="false">$B$7+$C$7*$A18</f>
        <v>9.51</v>
      </c>
    </row>
    <row r="19" customFormat="false" ht="15" hidden="false" customHeight="false" outlineLevel="0" collapsed="false">
      <c r="A19" s="10" t="n">
        <v>5</v>
      </c>
      <c r="B19" s="10" t="n">
        <v>3.3</v>
      </c>
      <c r="C19" s="10" t="n">
        <v>7.5</v>
      </c>
      <c r="D19" s="10" t="n">
        <f aca="false">$B$6+$C$6*$A19</f>
        <v>3.3</v>
      </c>
      <c r="E19" s="10" t="n">
        <f aca="false">$B$7+$C$7*$A19</f>
        <v>7.4</v>
      </c>
    </row>
    <row r="20" customFormat="false" ht="15" hidden="false" customHeight="false" outlineLevel="0" collapsed="false">
      <c r="A20" s="10" t="n">
        <v>6</v>
      </c>
      <c r="B20" s="10" t="n">
        <v>0.5</v>
      </c>
      <c r="C20" s="10" t="n">
        <v>5.4</v>
      </c>
      <c r="D20" s="10" t="n">
        <f aca="false">$B$6+$C$6*$A20</f>
        <v>0.550000000000001</v>
      </c>
      <c r="E20" s="10" t="n">
        <f aca="false">$B$7+$C$7*$A20</f>
        <v>5.29</v>
      </c>
    </row>
    <row r="21" customFormat="false" ht="15" hidden="false" customHeight="false" outlineLevel="0" collapsed="false">
      <c r="A21" s="10" t="n">
        <v>7</v>
      </c>
      <c r="B21" s="5"/>
      <c r="C21" s="10" t="n">
        <v>3.2</v>
      </c>
      <c r="D21" s="10" t="n">
        <f aca="false">$B$6+$C$6*$A21</f>
        <v>-2.2</v>
      </c>
      <c r="E21" s="10" t="n">
        <f aca="false">$B$7+$C$7*$A21</f>
        <v>3.18</v>
      </c>
    </row>
    <row r="22" customFormat="false" ht="15" hidden="false" customHeight="false" outlineLevel="0" collapsed="false">
      <c r="A22" s="10" t="n">
        <v>8</v>
      </c>
      <c r="B22" s="5"/>
      <c r="C22" s="10" t="n">
        <v>1.1</v>
      </c>
      <c r="D22" s="10" t="n">
        <f aca="false">$B$6+$C$6*$A22</f>
        <v>-4.95</v>
      </c>
      <c r="E22" s="10" t="n">
        <f aca="false">$B$7+$C$7*$A22</f>
        <v>1.07</v>
      </c>
    </row>
    <row r="24" customFormat="false" ht="51.75" hidden="false" customHeight="true" outlineLevel="0" collapsed="false">
      <c r="A24" s="7" t="s">
        <v>243</v>
      </c>
      <c r="B24" s="7"/>
      <c r="C24" s="7"/>
      <c r="D24" s="7"/>
      <c r="E24" s="7"/>
    </row>
    <row r="26" customFormat="false" ht="39" hidden="false" customHeight="true" outlineLevel="0" collapsed="false">
      <c r="A26" s="7" t="s">
        <v>244</v>
      </c>
      <c r="B26" s="7"/>
      <c r="C26" s="7"/>
      <c r="D26" s="7"/>
      <c r="E26" s="7"/>
    </row>
  </sheetData>
  <mergeCells count="4">
    <mergeCell ref="A1:F1"/>
    <mergeCell ref="A2:F2"/>
    <mergeCell ref="A24:E24"/>
    <mergeCell ref="A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4"/>
    <col collapsed="false" customWidth="true" hidden="false" outlineLevel="0" max="5" min="4" style="0" width="16"/>
    <col collapsed="false" customWidth="true" hidden="false" outlineLevel="0" max="6" min="6" style="0" width="3"/>
  </cols>
  <sheetData>
    <row r="1" customFormat="false" ht="21.75" hidden="false" customHeight="true" outlineLevel="0" collapsed="false">
      <c r="A1" s="1" t="s">
        <v>245</v>
      </c>
      <c r="B1" s="1"/>
      <c r="C1" s="1"/>
      <c r="D1" s="1"/>
      <c r="E1" s="1"/>
      <c r="F1" s="1"/>
    </row>
    <row r="2" customFormat="false" ht="42" hidden="false" customHeight="true" outlineLevel="0" collapsed="false">
      <c r="A2" s="2" t="s">
        <v>246</v>
      </c>
      <c r="B2" s="2"/>
      <c r="C2" s="2"/>
      <c r="D2" s="2"/>
      <c r="E2" s="2"/>
      <c r="F2" s="2"/>
    </row>
    <row r="4" customFormat="false" ht="15" hidden="false" customHeight="false" outlineLevel="0" collapsed="false">
      <c r="A4" s="3" t="s">
        <v>228</v>
      </c>
    </row>
    <row r="5" customFormat="false" ht="30" hidden="false" customHeight="true" outlineLevel="0" collapsed="false">
      <c r="A5" s="4" t="s">
        <v>229</v>
      </c>
      <c r="B5" s="4" t="s">
        <v>230</v>
      </c>
      <c r="C5" s="4" t="s">
        <v>231</v>
      </c>
      <c r="D5" s="4" t="s">
        <v>232</v>
      </c>
      <c r="E5" s="4"/>
      <c r="F5" s="4"/>
    </row>
    <row r="6" customFormat="false" ht="15" hidden="false" customHeight="false" outlineLevel="0" collapsed="false">
      <c r="A6" s="5" t="s">
        <v>247</v>
      </c>
      <c r="B6" s="15" t="n">
        <v>29.7</v>
      </c>
      <c r="C6" s="15" t="n">
        <v>-1.85</v>
      </c>
      <c r="D6" s="12" t="n">
        <f aca="false">-B6/C6</f>
        <v>16.0540540540541</v>
      </c>
    </row>
    <row r="7" customFormat="false" ht="15" hidden="false" customHeight="false" outlineLevel="0" collapsed="false">
      <c r="A7" s="5" t="s">
        <v>248</v>
      </c>
      <c r="B7" s="15" t="n">
        <v>27</v>
      </c>
      <c r="C7" s="15" t="n">
        <v>-1.47</v>
      </c>
      <c r="D7" s="12" t="n">
        <f aca="false">-B7/C7</f>
        <v>18.3673469387755</v>
      </c>
    </row>
    <row r="9" customFormat="false" ht="15" hidden="false" customHeight="false" outlineLevel="0" collapsed="false">
      <c r="A9" s="3" t="s">
        <v>235</v>
      </c>
    </row>
    <row r="10" customFormat="false" ht="15" hidden="false" customHeight="false" outlineLevel="0" collapsed="false">
      <c r="A10" s="5" t="s">
        <v>236</v>
      </c>
      <c r="B10" s="12" t="n">
        <f aca="false">($B$6-$B$7)/($C$7-$C$6)</f>
        <v>7.10526315789473</v>
      </c>
      <c r="C10" s="5" t="s">
        <v>237</v>
      </c>
      <c r="D10" s="12" t="n">
        <f aca="false">$B$6+$C$6*B10</f>
        <v>16.5552631578947</v>
      </c>
    </row>
    <row r="12" customFormat="false" ht="15" hidden="false" customHeight="false" outlineLevel="0" collapsed="false">
      <c r="A12" s="3" t="s">
        <v>238</v>
      </c>
    </row>
    <row r="13" customFormat="false" ht="30" hidden="false" customHeight="true" outlineLevel="0" collapsed="false">
      <c r="A13" s="4" t="s">
        <v>214</v>
      </c>
      <c r="B13" s="4" t="s">
        <v>249</v>
      </c>
      <c r="C13" s="4" t="s">
        <v>250</v>
      </c>
      <c r="D13" s="4" t="s">
        <v>251</v>
      </c>
      <c r="E13" s="4" t="s">
        <v>252</v>
      </c>
    </row>
    <row r="14" customFormat="false" ht="15" hidden="false" customHeight="false" outlineLevel="0" collapsed="false">
      <c r="A14" s="10" t="n">
        <v>0</v>
      </c>
      <c r="B14" s="10" t="n">
        <v>29.7</v>
      </c>
      <c r="C14" s="10" t="n">
        <v>27</v>
      </c>
      <c r="D14" s="10" t="n">
        <f aca="false">$B$6+$C$6*$A14</f>
        <v>29.7</v>
      </c>
      <c r="E14" s="10" t="n">
        <f aca="false">$B$7+$C$7*$A14</f>
        <v>27</v>
      </c>
    </row>
    <row r="15" customFormat="false" ht="15" hidden="false" customHeight="false" outlineLevel="0" collapsed="false">
      <c r="A15" s="10" t="n">
        <v>1</v>
      </c>
      <c r="B15" s="10" t="n">
        <v>27.8</v>
      </c>
      <c r="C15" s="10" t="n">
        <v>25.5</v>
      </c>
      <c r="D15" s="10" t="n">
        <f aca="false">$B$6+$C$6*$A15</f>
        <v>27.85</v>
      </c>
      <c r="E15" s="10" t="n">
        <f aca="false">$B$7+$C$7*$A15</f>
        <v>25.53</v>
      </c>
    </row>
    <row r="16" customFormat="false" ht="15" hidden="false" customHeight="false" outlineLevel="0" collapsed="false">
      <c r="A16" s="10" t="n">
        <v>2</v>
      </c>
      <c r="B16" s="10" t="n">
        <v>25.6</v>
      </c>
      <c r="C16" s="10" t="n">
        <v>24</v>
      </c>
      <c r="D16" s="10" t="n">
        <f aca="false">$B$6+$C$6*$A16</f>
        <v>26</v>
      </c>
      <c r="E16" s="10" t="n">
        <f aca="false">$B$7+$C$7*$A16</f>
        <v>24.06</v>
      </c>
    </row>
    <row r="17" customFormat="false" ht="15" hidden="false" customHeight="false" outlineLevel="0" collapsed="false">
      <c r="A17" s="10" t="n">
        <v>3</v>
      </c>
      <c r="B17" s="10" t="n">
        <v>24</v>
      </c>
      <c r="C17" s="10" t="n">
        <v>22.6</v>
      </c>
      <c r="D17" s="10" t="n">
        <f aca="false">$B$6+$C$6*$A17</f>
        <v>24.15</v>
      </c>
      <c r="E17" s="10" t="n">
        <f aca="false">$B$7+$C$7*$A17</f>
        <v>22.59</v>
      </c>
    </row>
    <row r="18" customFormat="false" ht="15" hidden="false" customHeight="false" outlineLevel="0" collapsed="false">
      <c r="A18" s="10" t="n">
        <v>4</v>
      </c>
      <c r="B18" s="10" t="n">
        <v>22.3</v>
      </c>
      <c r="C18" s="10" t="n">
        <v>21.1</v>
      </c>
      <c r="D18" s="10" t="n">
        <f aca="false">$B$6+$C$6*$A18</f>
        <v>22.3</v>
      </c>
      <c r="E18" s="10" t="n">
        <f aca="false">$B$7+$C$7*$A18</f>
        <v>21.12</v>
      </c>
    </row>
    <row r="19" customFormat="false" ht="15" hidden="false" customHeight="false" outlineLevel="0" collapsed="false">
      <c r="A19" s="10" t="n">
        <v>5</v>
      </c>
      <c r="B19" s="10" t="n">
        <v>20.5</v>
      </c>
      <c r="C19" s="10" t="n">
        <v>19.6</v>
      </c>
      <c r="D19" s="10" t="n">
        <f aca="false">$B$6+$C$6*$A19</f>
        <v>20.45</v>
      </c>
      <c r="E19" s="10" t="n">
        <f aca="false">$B$7+$C$7*$A19</f>
        <v>19.65</v>
      </c>
    </row>
    <row r="20" customFormat="false" ht="15" hidden="false" customHeight="false" outlineLevel="0" collapsed="false">
      <c r="A20" s="10" t="n">
        <v>6</v>
      </c>
      <c r="B20" s="10" t="n">
        <v>18.5</v>
      </c>
      <c r="C20" s="10" t="n">
        <v>18.2</v>
      </c>
      <c r="D20" s="10" t="n">
        <f aca="false">$B$6+$C$6*$A20</f>
        <v>18.6</v>
      </c>
      <c r="E20" s="10" t="n">
        <f aca="false">$B$7+$C$7*$A20</f>
        <v>18.18</v>
      </c>
    </row>
    <row r="21" customFormat="false" ht="15" hidden="false" customHeight="false" outlineLevel="0" collapsed="false">
      <c r="A21" s="10" t="n">
        <v>7</v>
      </c>
      <c r="B21" s="10" t="n">
        <v>16.6</v>
      </c>
      <c r="C21" s="10" t="n">
        <v>16.7</v>
      </c>
      <c r="D21" s="10" t="n">
        <f aca="false">$B$6+$C$6*$A21</f>
        <v>16.75</v>
      </c>
      <c r="E21" s="10" t="n">
        <f aca="false">$B$7+$C$7*$A21</f>
        <v>16.71</v>
      </c>
    </row>
    <row r="22" customFormat="false" ht="15" hidden="false" customHeight="false" outlineLevel="0" collapsed="false">
      <c r="A22" s="10" t="n">
        <v>8</v>
      </c>
      <c r="B22" s="10" t="n">
        <v>14.8</v>
      </c>
      <c r="C22" s="10" t="n">
        <v>15.2</v>
      </c>
      <c r="D22" s="10" t="n">
        <f aca="false">$B$6+$C$6*$A22</f>
        <v>14.9</v>
      </c>
      <c r="E22" s="10" t="n">
        <f aca="false">$B$7+$C$7*$A22</f>
        <v>15.24</v>
      </c>
    </row>
    <row r="23" customFormat="false" ht="15" hidden="false" customHeight="false" outlineLevel="0" collapsed="false">
      <c r="A23" s="10" t="n">
        <v>9</v>
      </c>
      <c r="B23" s="10" t="n">
        <v>12.9</v>
      </c>
      <c r="C23" s="10" t="n">
        <v>13.7</v>
      </c>
      <c r="D23" s="10" t="n">
        <f aca="false">$B$6+$C$6*$A23</f>
        <v>13.05</v>
      </c>
      <c r="E23" s="10" t="n">
        <f aca="false">$B$7+$C$7*$A23</f>
        <v>13.77</v>
      </c>
    </row>
    <row r="24" customFormat="false" ht="15" hidden="false" customHeight="false" outlineLevel="0" collapsed="false">
      <c r="A24" s="10" t="n">
        <v>10</v>
      </c>
      <c r="B24" s="10" t="n">
        <v>11.1</v>
      </c>
      <c r="C24" s="10" t="n">
        <v>12.3</v>
      </c>
      <c r="D24" s="10" t="n">
        <f aca="false">$B$6+$C$6*$A24</f>
        <v>11.2</v>
      </c>
      <c r="E24" s="10" t="n">
        <f aca="false">$B$7+$C$7*$A24</f>
        <v>12.3</v>
      </c>
    </row>
    <row r="25" customFormat="false" ht="15" hidden="false" customHeight="false" outlineLevel="0" collapsed="false">
      <c r="A25" s="10" t="n">
        <v>11</v>
      </c>
      <c r="B25" s="10" t="n">
        <v>9.3</v>
      </c>
      <c r="C25" s="10" t="n">
        <v>10.8</v>
      </c>
      <c r="D25" s="10" t="n">
        <f aca="false">$B$6+$C$6*$A25</f>
        <v>9.35</v>
      </c>
      <c r="E25" s="10" t="n">
        <f aca="false">$B$7+$C$7*$A25</f>
        <v>10.83</v>
      </c>
    </row>
    <row r="26" customFormat="false" ht="15" hidden="false" customHeight="false" outlineLevel="0" collapsed="false">
      <c r="A26" s="10" t="n">
        <v>12</v>
      </c>
      <c r="B26" s="10" t="n">
        <v>7.5</v>
      </c>
      <c r="C26" s="10" t="n">
        <v>9.3</v>
      </c>
      <c r="D26" s="10" t="n">
        <f aca="false">$B$6+$C$6*$A26</f>
        <v>7.5</v>
      </c>
      <c r="E26" s="10" t="n">
        <f aca="false">$B$7+$C$7*$A26</f>
        <v>9.36</v>
      </c>
    </row>
    <row r="27" customFormat="false" ht="15" hidden="false" customHeight="false" outlineLevel="0" collapsed="false">
      <c r="A27" s="10" t="n">
        <v>13</v>
      </c>
      <c r="B27" s="10" t="n">
        <v>5.6</v>
      </c>
      <c r="C27" s="10" t="n">
        <v>7.9</v>
      </c>
      <c r="D27" s="10" t="n">
        <f aca="false">$B$6+$C$6*$A27</f>
        <v>5.65</v>
      </c>
      <c r="E27" s="10" t="n">
        <f aca="false">$B$7+$C$7*$A27</f>
        <v>7.89</v>
      </c>
    </row>
    <row r="28" customFormat="false" ht="15" hidden="false" customHeight="false" outlineLevel="0" collapsed="false">
      <c r="A28" s="10" t="n">
        <v>14</v>
      </c>
      <c r="B28" s="10" t="n">
        <v>3.8</v>
      </c>
      <c r="C28" s="10" t="n">
        <v>6.4</v>
      </c>
      <c r="D28" s="10" t="n">
        <f aca="false">$B$6+$C$6*$A28</f>
        <v>3.8</v>
      </c>
      <c r="E28" s="10" t="n">
        <f aca="false">$B$7+$C$7*$A28</f>
        <v>6.42</v>
      </c>
    </row>
    <row r="29" customFormat="false" ht="15" hidden="false" customHeight="false" outlineLevel="0" collapsed="false">
      <c r="A29" s="10" t="n">
        <v>15</v>
      </c>
      <c r="B29" s="5"/>
      <c r="C29" s="10" t="n">
        <v>4.9</v>
      </c>
      <c r="D29" s="10" t="n">
        <f aca="false">$B$6+$C$6*$A29</f>
        <v>1.95</v>
      </c>
      <c r="E29" s="10" t="n">
        <f aca="false">$B$7+$C$7*$A29</f>
        <v>4.95</v>
      </c>
    </row>
    <row r="30" customFormat="false" ht="15" hidden="false" customHeight="false" outlineLevel="0" collapsed="false">
      <c r="A30" s="10" t="n">
        <v>16</v>
      </c>
      <c r="B30" s="5"/>
      <c r="C30" s="10" t="n">
        <v>3.5</v>
      </c>
      <c r="D30" s="10" t="n">
        <f aca="false">$B$6+$C$6*$A30</f>
        <v>0.0999999999999979</v>
      </c>
      <c r="E30" s="10" t="n">
        <f aca="false">$B$7+$C$7*$A30</f>
        <v>3.48</v>
      </c>
    </row>
    <row r="32" customFormat="false" ht="15" hidden="false" customHeight="false" outlineLevel="0" collapsed="false">
      <c r="A32" s="3" t="s">
        <v>253</v>
      </c>
    </row>
    <row r="33" customFormat="false" ht="30" hidden="false" customHeight="true" outlineLevel="0" collapsed="false">
      <c r="A33" s="4" t="s">
        <v>254</v>
      </c>
      <c r="B33" s="4" t="s">
        <v>255</v>
      </c>
      <c r="C33" s="4" t="s">
        <v>256</v>
      </c>
      <c r="D33" s="4" t="s">
        <v>257</v>
      </c>
      <c r="E33" s="4" t="s">
        <v>258</v>
      </c>
    </row>
    <row r="34" customFormat="false" ht="15" hidden="false" customHeight="false" outlineLevel="0" collapsed="false">
      <c r="A34" s="5" t="s">
        <v>259</v>
      </c>
      <c r="B34" s="10" t="n">
        <v>4</v>
      </c>
      <c r="C34" s="10" t="n">
        <v>9</v>
      </c>
      <c r="D34" s="10" t="n">
        <v>21</v>
      </c>
      <c r="E34" s="10" t="n">
        <v>25.5</v>
      </c>
    </row>
    <row r="35" customFormat="false" ht="15" hidden="false" customHeight="false" outlineLevel="0" collapsed="false">
      <c r="A35" s="5" t="s">
        <v>260</v>
      </c>
      <c r="B35" s="10" t="n">
        <v>4</v>
      </c>
      <c r="C35" s="10" t="n">
        <v>7.5</v>
      </c>
      <c r="D35" s="10" t="n">
        <v>14</v>
      </c>
      <c r="E35" s="10" t="n">
        <v>17</v>
      </c>
    </row>
    <row r="37" customFormat="false" ht="51.75" hidden="false" customHeight="true" outlineLevel="0" collapsed="false">
      <c r="A37" s="7" t="s">
        <v>261</v>
      </c>
      <c r="B37" s="7"/>
      <c r="C37" s="7"/>
      <c r="D37" s="7"/>
      <c r="E37" s="7"/>
    </row>
  </sheetData>
  <mergeCells count="3">
    <mergeCell ref="A1:F1"/>
    <mergeCell ref="A2:F2"/>
    <mergeCell ref="A37:E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6"/>
    <col collapsed="false" customWidth="true" hidden="false" outlineLevel="0" max="3" min="3" style="0" width="26"/>
    <col collapsed="false" customWidth="true" hidden="false" outlineLevel="0" max="4" min="4" style="0" width="12"/>
    <col collapsed="false" customWidth="true" hidden="false" outlineLevel="0" max="5" min="5" style="0" width="30"/>
    <col collapsed="false" customWidth="true" hidden="false" outlineLevel="0" max="8" min="6" style="0" width="3"/>
  </cols>
  <sheetData>
    <row r="1" customFormat="false" ht="21.75" hidden="false" customHeight="true" outlineLevel="0" collapsed="false">
      <c r="A1" s="1" t="s">
        <v>262</v>
      </c>
      <c r="B1" s="1"/>
      <c r="C1" s="1"/>
      <c r="D1" s="1"/>
      <c r="E1" s="1"/>
      <c r="F1" s="1"/>
      <c r="G1" s="1"/>
      <c r="H1" s="1"/>
    </row>
    <row r="2" customFormat="false" ht="42" hidden="false" customHeight="true" outlineLevel="0" collapsed="false">
      <c r="A2" s="2" t="s">
        <v>263</v>
      </c>
      <c r="B2" s="2"/>
      <c r="C2" s="2"/>
      <c r="D2" s="2"/>
      <c r="E2" s="2"/>
      <c r="F2" s="2"/>
      <c r="G2" s="2"/>
      <c r="H2" s="2"/>
    </row>
    <row r="4" customFormat="false" ht="30" hidden="false" customHeight="true" outlineLevel="0" collapsed="false">
      <c r="A4" s="4" t="s">
        <v>264</v>
      </c>
      <c r="B4" s="4" t="s">
        <v>265</v>
      </c>
      <c r="C4" s="4" t="s">
        <v>266</v>
      </c>
      <c r="D4" s="4" t="s">
        <v>267</v>
      </c>
      <c r="E4" s="4" t="s">
        <v>268</v>
      </c>
      <c r="F4" s="4"/>
      <c r="G4" s="4"/>
      <c r="H4" s="4"/>
    </row>
    <row r="5" customFormat="false" ht="15" hidden="false" customHeight="false" outlineLevel="0" collapsed="false">
      <c r="A5" s="12" t="n">
        <v>20</v>
      </c>
      <c r="B5" s="5"/>
      <c r="C5" s="12" t="n">
        <v>1.95</v>
      </c>
      <c r="D5" s="12" t="n">
        <v>1.55</v>
      </c>
      <c r="E5" s="5" t="s">
        <v>269</v>
      </c>
    </row>
    <row r="6" customFormat="false" ht="15" hidden="false" customHeight="false" outlineLevel="0" collapsed="false">
      <c r="A6" s="12" t="n">
        <v>25</v>
      </c>
      <c r="B6" s="5"/>
      <c r="C6" s="12" t="n">
        <v>1.72</v>
      </c>
      <c r="D6" s="12" t="n">
        <v>1.38</v>
      </c>
      <c r="E6" s="5" t="s">
        <v>270</v>
      </c>
    </row>
    <row r="7" customFormat="false" ht="15" hidden="false" customHeight="false" outlineLevel="0" collapsed="false">
      <c r="A7" s="12" t="n">
        <v>30</v>
      </c>
      <c r="B7" s="12" t="n">
        <v>2.72</v>
      </c>
      <c r="C7" s="12" t="n">
        <v>1.55</v>
      </c>
      <c r="D7" s="12" t="n">
        <v>1.25</v>
      </c>
      <c r="E7" s="5" t="s">
        <v>271</v>
      </c>
    </row>
    <row r="8" customFormat="false" ht="15" hidden="false" customHeight="false" outlineLevel="0" collapsed="false">
      <c r="A8" s="12" t="n">
        <v>35</v>
      </c>
      <c r="B8" s="12" t="n">
        <v>2.45</v>
      </c>
      <c r="C8" s="12" t="n">
        <v>1.42</v>
      </c>
      <c r="D8" s="12" t="n">
        <v>1.15</v>
      </c>
      <c r="E8" s="5" t="s">
        <v>272</v>
      </c>
    </row>
    <row r="9" customFormat="false" ht="15" hidden="false" customHeight="false" outlineLevel="0" collapsed="false">
      <c r="A9" s="12" t="n">
        <v>40</v>
      </c>
      <c r="B9" s="12" t="n">
        <v>2.2</v>
      </c>
      <c r="C9" s="12" t="n">
        <v>1.3</v>
      </c>
      <c r="D9" s="12" t="n">
        <v>1.05</v>
      </c>
      <c r="E9" s="5" t="s">
        <v>273</v>
      </c>
    </row>
    <row r="10" customFormat="false" ht="15" hidden="false" customHeight="false" outlineLevel="0" collapsed="false">
      <c r="A10" s="12" t="n">
        <v>45</v>
      </c>
      <c r="B10" s="12" t="n">
        <v>2.02</v>
      </c>
      <c r="C10" s="12" t="n">
        <v>1.2</v>
      </c>
      <c r="D10" s="5"/>
      <c r="E10" s="5"/>
    </row>
    <row r="11" customFormat="false" ht="15" hidden="false" customHeight="false" outlineLevel="0" collapsed="false">
      <c r="A11" s="12" t="n">
        <v>50</v>
      </c>
      <c r="B11" s="12" t="n">
        <v>1.85</v>
      </c>
      <c r="C11" s="12" t="n">
        <v>1.1</v>
      </c>
      <c r="D11" s="5"/>
      <c r="E11" s="5"/>
    </row>
    <row r="12" customFormat="false" ht="15" hidden="false" customHeight="false" outlineLevel="0" collapsed="false">
      <c r="A12" s="12" t="n">
        <v>55</v>
      </c>
      <c r="B12" s="12" t="n">
        <v>1.7</v>
      </c>
      <c r="C12" s="5"/>
      <c r="D12" s="5"/>
      <c r="E12" s="5"/>
    </row>
    <row r="13" customFormat="false" ht="15" hidden="false" customHeight="false" outlineLevel="0" collapsed="false">
      <c r="A13" s="12" t="n">
        <v>60</v>
      </c>
      <c r="B13" s="12" t="n">
        <v>1.55</v>
      </c>
      <c r="C13" s="5"/>
      <c r="D13" s="5"/>
      <c r="E13" s="5"/>
    </row>
    <row r="14" customFormat="false" ht="15" hidden="false" customHeight="false" outlineLevel="0" collapsed="false">
      <c r="A14" s="12" t="n">
        <v>65</v>
      </c>
      <c r="B14" s="12" t="n">
        <v>1.42</v>
      </c>
      <c r="C14" s="5"/>
      <c r="D14" s="5"/>
      <c r="E14" s="5"/>
    </row>
    <row r="15" customFormat="false" ht="15" hidden="false" customHeight="false" outlineLevel="0" collapsed="false">
      <c r="A15" s="12" t="n">
        <v>70</v>
      </c>
      <c r="B15" s="12" t="n">
        <v>1.32</v>
      </c>
      <c r="C15" s="5"/>
      <c r="D15" s="5"/>
      <c r="E15" s="5"/>
    </row>
    <row r="18" customFormat="false" ht="15" hidden="false" customHeight="false" outlineLevel="0" collapsed="false">
      <c r="A18" s="3" t="s">
        <v>274</v>
      </c>
    </row>
    <row r="19" customFormat="false" ht="30" hidden="false" customHeight="true" outlineLevel="0" collapsed="false">
      <c r="A19" s="4" t="s">
        <v>275</v>
      </c>
      <c r="B19" s="4" t="s">
        <v>276</v>
      </c>
      <c r="C19" s="4" t="s">
        <v>277</v>
      </c>
    </row>
    <row r="20" customFormat="false" ht="23.85" hidden="false" customHeight="false" outlineLevel="0" collapsed="false">
      <c r="A20" s="5" t="s">
        <v>278</v>
      </c>
      <c r="B20" s="22" t="s">
        <v>279</v>
      </c>
      <c r="C20" s="5" t="s">
        <v>280</v>
      </c>
    </row>
    <row r="21" customFormat="false" ht="15" hidden="false" customHeight="false" outlineLevel="0" collapsed="false">
      <c r="A21" s="5" t="s">
        <v>281</v>
      </c>
      <c r="B21" s="22" t="s">
        <v>282</v>
      </c>
      <c r="C21" s="5" t="s">
        <v>280</v>
      </c>
    </row>
    <row r="23" customFormat="false" ht="39" hidden="false" customHeight="true" outlineLevel="0" collapsed="false">
      <c r="A23" s="7" t="s">
        <v>283</v>
      </c>
      <c r="B23" s="7"/>
      <c r="C23" s="7"/>
      <c r="D23" s="7"/>
      <c r="E23" s="7"/>
    </row>
  </sheetData>
  <mergeCells count="3">
    <mergeCell ref="A1:H1"/>
    <mergeCell ref="A2:H2"/>
    <mergeCell ref="A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5" min="3" style="0" width="13"/>
    <col collapsed="false" customWidth="true" hidden="false" outlineLevel="0" max="7" min="6" style="0" width="22"/>
    <col collapsed="false" customWidth="true" hidden="false" outlineLevel="0" max="8" min="8" style="0" width="3"/>
  </cols>
  <sheetData>
    <row r="1" customFormat="false" ht="21.75" hidden="false" customHeight="true" outlineLevel="0" collapsed="false">
      <c r="A1" s="1" t="s">
        <v>284</v>
      </c>
      <c r="B1" s="1"/>
      <c r="C1" s="1"/>
      <c r="D1" s="1"/>
      <c r="E1" s="1"/>
      <c r="F1" s="1"/>
      <c r="G1" s="1"/>
      <c r="H1" s="1"/>
    </row>
    <row r="2" customFormat="false" ht="42" hidden="false" customHeight="true" outlineLevel="0" collapsed="false">
      <c r="A2" s="2" t="s">
        <v>285</v>
      </c>
      <c r="B2" s="2"/>
      <c r="C2" s="2"/>
      <c r="D2" s="2"/>
      <c r="E2" s="2"/>
      <c r="F2" s="2"/>
      <c r="G2" s="2"/>
      <c r="H2" s="2"/>
    </row>
    <row r="4" customFormat="false" ht="30" hidden="false" customHeight="true" outlineLevel="0" collapsed="false">
      <c r="A4" s="4" t="s">
        <v>264</v>
      </c>
      <c r="B4" s="4" t="s">
        <v>286</v>
      </c>
      <c r="C4" s="4" t="s">
        <v>287</v>
      </c>
      <c r="D4" s="4" t="s">
        <v>288</v>
      </c>
      <c r="E4" s="4" t="s">
        <v>289</v>
      </c>
      <c r="F4" s="4" t="s">
        <v>290</v>
      </c>
      <c r="G4" s="4" t="s">
        <v>291</v>
      </c>
      <c r="H4" s="4"/>
    </row>
    <row r="5" customFormat="false" ht="15" hidden="false" customHeight="false" outlineLevel="0" collapsed="false">
      <c r="A5" s="12" t="n">
        <v>25</v>
      </c>
      <c r="B5" s="12" t="n">
        <v>7</v>
      </c>
      <c r="C5" s="12" t="n">
        <v>5.5</v>
      </c>
      <c r="D5" s="12" t="n">
        <v>3.75</v>
      </c>
      <c r="E5" s="12" t="n">
        <v>2.8</v>
      </c>
      <c r="F5" s="12" t="n">
        <v>1.35</v>
      </c>
      <c r="G5" s="5" t="s">
        <v>292</v>
      </c>
    </row>
    <row r="6" customFormat="false" ht="15" hidden="false" customHeight="false" outlineLevel="0" collapsed="false">
      <c r="A6" s="12" t="n">
        <v>30</v>
      </c>
      <c r="B6" s="12" t="n">
        <v>6.1</v>
      </c>
      <c r="C6" s="12" t="n">
        <v>4.8</v>
      </c>
      <c r="D6" s="12" t="n">
        <v>3.25</v>
      </c>
      <c r="E6" s="12" t="n">
        <v>2.45</v>
      </c>
      <c r="F6" s="12" t="n">
        <v>1.2</v>
      </c>
      <c r="G6" s="5" t="s">
        <v>293</v>
      </c>
    </row>
    <row r="7" customFormat="false" ht="15" hidden="false" customHeight="false" outlineLevel="0" collapsed="false">
      <c r="A7" s="12" t="n">
        <v>35</v>
      </c>
      <c r="B7" s="12" t="n">
        <v>5.45</v>
      </c>
      <c r="C7" s="12" t="n">
        <v>4.3</v>
      </c>
      <c r="D7" s="12" t="n">
        <v>2.9</v>
      </c>
      <c r="E7" s="12" t="n">
        <v>2.2</v>
      </c>
      <c r="F7" s="12" t="n">
        <v>1.1</v>
      </c>
      <c r="G7" s="5" t="s">
        <v>294</v>
      </c>
    </row>
    <row r="8" customFormat="false" ht="15" hidden="false" customHeight="false" outlineLevel="0" collapsed="false">
      <c r="A8" s="12" t="n">
        <v>40</v>
      </c>
      <c r="B8" s="12" t="n">
        <v>4.9</v>
      </c>
      <c r="C8" s="12" t="n">
        <v>3.9</v>
      </c>
      <c r="D8" s="12" t="n">
        <v>2.62</v>
      </c>
      <c r="E8" s="12" t="n">
        <v>2</v>
      </c>
      <c r="F8" s="12" t="n">
        <v>1</v>
      </c>
      <c r="G8" s="5" t="s">
        <v>295</v>
      </c>
    </row>
    <row r="9" customFormat="false" ht="15" hidden="false" customHeight="false" outlineLevel="0" collapsed="false">
      <c r="A9" s="12" t="n">
        <v>45</v>
      </c>
      <c r="B9" s="12" t="n">
        <v>4.5</v>
      </c>
      <c r="C9" s="12" t="n">
        <v>3.58</v>
      </c>
      <c r="D9" s="12" t="n">
        <v>2.4</v>
      </c>
      <c r="E9" s="12" t="n">
        <v>1.83</v>
      </c>
      <c r="F9" s="12" t="n">
        <v>0.93</v>
      </c>
      <c r="G9" s="5" t="s">
        <v>296</v>
      </c>
    </row>
    <row r="10" customFormat="false" ht="15" hidden="false" customHeight="false" outlineLevel="0" collapsed="false">
      <c r="A10" s="12" t="n">
        <v>50</v>
      </c>
      <c r="B10" s="12" t="n">
        <v>4.18</v>
      </c>
      <c r="C10" s="12" t="n">
        <v>3.32</v>
      </c>
      <c r="D10" s="12" t="n">
        <v>2.22</v>
      </c>
      <c r="E10" s="12" t="n">
        <v>1.7</v>
      </c>
      <c r="F10" s="12" t="n">
        <v>0.86</v>
      </c>
      <c r="G10" s="5" t="s">
        <v>297</v>
      </c>
    </row>
    <row r="11" customFormat="false" ht="15" hidden="false" customHeight="false" outlineLevel="0" collapsed="false">
      <c r="A11" s="12" t="n">
        <v>55</v>
      </c>
      <c r="B11" s="12" t="n">
        <v>3.92</v>
      </c>
      <c r="C11" s="12" t="n">
        <v>3.12</v>
      </c>
      <c r="D11" s="12" t="n">
        <v>2.08</v>
      </c>
      <c r="E11" s="12" t="n">
        <v>1.58</v>
      </c>
      <c r="F11" s="12" t="n">
        <v>0.8</v>
      </c>
      <c r="G11" s="5" t="s">
        <v>298</v>
      </c>
    </row>
    <row r="12" customFormat="false" ht="15" hidden="false" customHeight="false" outlineLevel="0" collapsed="false">
      <c r="A12" s="12" t="n">
        <v>60</v>
      </c>
      <c r="B12" s="12" t="n">
        <v>3.72</v>
      </c>
      <c r="C12" s="12" t="n">
        <v>2.95</v>
      </c>
      <c r="D12" s="12" t="n">
        <v>1.96</v>
      </c>
      <c r="E12" s="12" t="n">
        <v>1.49</v>
      </c>
      <c r="F12" s="12" t="n">
        <v>0.75</v>
      </c>
      <c r="G12" s="5" t="s">
        <v>299</v>
      </c>
    </row>
    <row r="13" customFormat="false" ht="15" hidden="false" customHeight="false" outlineLevel="0" collapsed="false">
      <c r="A13" s="12" t="n">
        <v>65</v>
      </c>
      <c r="B13" s="12" t="n">
        <v>3.58</v>
      </c>
      <c r="C13" s="12" t="n">
        <v>2.85</v>
      </c>
      <c r="D13" s="12" t="n">
        <v>1.88</v>
      </c>
      <c r="E13" s="12" t="n">
        <v>1.42</v>
      </c>
      <c r="F13" s="12" t="n">
        <v>0.71</v>
      </c>
      <c r="G13" s="5" t="s">
        <v>300</v>
      </c>
    </row>
    <row r="14" customFormat="false" ht="15" hidden="false" customHeight="false" outlineLevel="0" collapsed="false">
      <c r="A14" s="12" t="n">
        <v>70</v>
      </c>
      <c r="B14" s="12" t="n">
        <v>3.48</v>
      </c>
      <c r="C14" s="12" t="n">
        <v>2.78</v>
      </c>
      <c r="D14" s="12" t="n">
        <v>1.82</v>
      </c>
      <c r="E14" s="12" t="n">
        <v>1.38</v>
      </c>
      <c r="F14" s="12" t="n">
        <v>0.68</v>
      </c>
      <c r="G14" s="5" t="s">
        <v>301</v>
      </c>
    </row>
    <row r="17" customFormat="false" ht="64.5" hidden="false" customHeight="true" outlineLevel="0" collapsed="false">
      <c r="A17" s="7" t="s">
        <v>302</v>
      </c>
      <c r="B17" s="7"/>
      <c r="C17" s="7"/>
      <c r="D17" s="7"/>
      <c r="E17" s="7"/>
      <c r="F17" s="7"/>
      <c r="G17" s="7"/>
    </row>
  </sheetData>
  <mergeCells count="3">
    <mergeCell ref="A1:H1"/>
    <mergeCell ref="A2:H2"/>
    <mergeCell ref="A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26"/>
    <col collapsed="false" customWidth="true" hidden="false" outlineLevel="0" max="4" min="4" style="0" width="28"/>
    <col collapsed="false" customWidth="true" hidden="false" outlineLevel="0" max="6" min="5" style="0" width="3"/>
  </cols>
  <sheetData>
    <row r="1" customFormat="false" ht="21.75" hidden="false" customHeight="true" outlineLevel="0" collapsed="false">
      <c r="A1" s="1" t="s">
        <v>303</v>
      </c>
      <c r="B1" s="1"/>
      <c r="C1" s="1"/>
      <c r="D1" s="1"/>
      <c r="E1" s="1"/>
      <c r="F1" s="1"/>
    </row>
    <row r="2" customFormat="false" ht="42" hidden="false" customHeight="true" outlineLevel="0" collapsed="false">
      <c r="A2" s="2" t="s">
        <v>304</v>
      </c>
      <c r="B2" s="2"/>
      <c r="C2" s="2"/>
      <c r="D2" s="2"/>
      <c r="E2" s="2"/>
      <c r="F2" s="2"/>
    </row>
    <row r="4" customFormat="false" ht="30" hidden="false" customHeight="true" outlineLevel="0" collapsed="false">
      <c r="A4" s="4" t="s">
        <v>305</v>
      </c>
      <c r="B4" s="4" t="s">
        <v>306</v>
      </c>
      <c r="C4" s="4" t="s">
        <v>307</v>
      </c>
      <c r="D4" s="4" t="s">
        <v>308</v>
      </c>
      <c r="E4" s="4" t="s">
        <v>309</v>
      </c>
      <c r="F4" s="4"/>
    </row>
    <row r="5" customFormat="false" ht="15" hidden="false" customHeight="false" outlineLevel="0" collapsed="false">
      <c r="A5" s="12" t="n">
        <v>20</v>
      </c>
      <c r="B5" s="12" t="n">
        <v>2.3</v>
      </c>
      <c r="C5" s="12" t="n">
        <v>1.9</v>
      </c>
      <c r="D5" s="12" t="n">
        <v>1.72</v>
      </c>
      <c r="E5" s="12" t="n">
        <v>1.55</v>
      </c>
    </row>
    <row r="6" customFormat="false" ht="15" hidden="false" customHeight="false" outlineLevel="0" collapsed="false">
      <c r="A6" s="12" t="n">
        <v>25</v>
      </c>
      <c r="B6" s="12" t="n">
        <v>1.93</v>
      </c>
      <c r="C6" s="12" t="n">
        <v>1.6</v>
      </c>
      <c r="D6" s="12" t="n">
        <v>1.42</v>
      </c>
      <c r="E6" s="12" t="n">
        <v>1.3</v>
      </c>
    </row>
    <row r="7" customFormat="false" ht="15" hidden="false" customHeight="false" outlineLevel="0" collapsed="false">
      <c r="A7" s="12" t="n">
        <v>30</v>
      </c>
      <c r="B7" s="12" t="n">
        <v>1.72</v>
      </c>
      <c r="C7" s="12" t="n">
        <v>1.42</v>
      </c>
      <c r="D7" s="12" t="n">
        <v>1.25</v>
      </c>
      <c r="E7" s="12" t="n">
        <v>1.15</v>
      </c>
    </row>
    <row r="8" customFormat="false" ht="15" hidden="false" customHeight="false" outlineLevel="0" collapsed="false">
      <c r="A8" s="12" t="n">
        <v>35</v>
      </c>
      <c r="B8" s="12" t="n">
        <v>1.58</v>
      </c>
      <c r="C8" s="12" t="n">
        <v>1.3</v>
      </c>
      <c r="D8" s="12" t="n">
        <v>1.12</v>
      </c>
      <c r="E8" s="12" t="n">
        <v>1.02</v>
      </c>
    </row>
    <row r="9" customFormat="false" ht="15" hidden="false" customHeight="false" outlineLevel="0" collapsed="false">
      <c r="A9" s="12" t="n">
        <v>40</v>
      </c>
      <c r="B9" s="12" t="n">
        <v>1.5</v>
      </c>
      <c r="C9" s="12" t="n">
        <v>1.22</v>
      </c>
      <c r="D9" s="12" t="n">
        <v>1</v>
      </c>
      <c r="E9" s="12" t="n">
        <v>0.92</v>
      </c>
    </row>
    <row r="10" customFormat="false" ht="15" hidden="false" customHeight="false" outlineLevel="0" collapsed="false">
      <c r="A10" s="12" t="n">
        <v>45</v>
      </c>
      <c r="B10" s="12" t="n">
        <v>1.46</v>
      </c>
      <c r="C10" s="12" t="n">
        <v>1.18</v>
      </c>
      <c r="D10" s="12" t="n">
        <v>0.95</v>
      </c>
      <c r="E10" s="12" t="n">
        <v>0.85</v>
      </c>
    </row>
    <row r="11" customFormat="false" ht="15" hidden="false" customHeight="false" outlineLevel="0" collapsed="false">
      <c r="A11" s="12" t="n">
        <v>50</v>
      </c>
      <c r="B11" s="12" t="n">
        <v>1.44</v>
      </c>
      <c r="C11" s="12" t="n">
        <v>1.15</v>
      </c>
      <c r="D11" s="12" t="n">
        <v>0.92</v>
      </c>
      <c r="E11" s="12" t="n">
        <v>0.8</v>
      </c>
    </row>
    <row r="12" customFormat="false" ht="15" hidden="false" customHeight="false" outlineLevel="0" collapsed="false">
      <c r="A12" s="12" t="n">
        <v>55</v>
      </c>
      <c r="B12" s="12" t="n">
        <v>1.42</v>
      </c>
      <c r="C12" s="12" t="n">
        <v>1.13</v>
      </c>
      <c r="D12" s="12" t="n">
        <v>0.9</v>
      </c>
      <c r="E12" s="12" t="n">
        <v>0.78</v>
      </c>
    </row>
    <row r="13" customFormat="false" ht="15" hidden="false" customHeight="false" outlineLevel="0" collapsed="false">
      <c r="A13" s="12" t="n">
        <v>60</v>
      </c>
      <c r="B13" s="12" t="n">
        <v>1.41</v>
      </c>
      <c r="C13" s="12" t="n">
        <v>1.12</v>
      </c>
      <c r="D13" s="12" t="n">
        <v>0.88</v>
      </c>
      <c r="E13" s="12" t="n">
        <v>0.76</v>
      </c>
    </row>
    <row r="14" customFormat="false" ht="15" hidden="false" customHeight="false" outlineLevel="0" collapsed="false">
      <c r="A14" s="12" t="n">
        <v>65</v>
      </c>
      <c r="B14" s="12" t="n">
        <v>1.4</v>
      </c>
      <c r="C14" s="12" t="n">
        <v>1.11</v>
      </c>
      <c r="D14" s="12" t="n">
        <v>0.87</v>
      </c>
      <c r="E14" s="12" t="n">
        <v>0.74</v>
      </c>
    </row>
    <row r="15" customFormat="false" ht="15" hidden="false" customHeight="false" outlineLevel="0" collapsed="false">
      <c r="A15" s="12" t="n">
        <v>70</v>
      </c>
      <c r="B15" s="12" t="n">
        <v>1.39</v>
      </c>
      <c r="C15" s="12" t="n">
        <v>1.1</v>
      </c>
      <c r="D15" s="12" t="n">
        <v>0.86</v>
      </c>
      <c r="E15" s="12" t="n">
        <v>0.72</v>
      </c>
    </row>
    <row r="18" customFormat="false" ht="15" hidden="false" customHeight="false" outlineLevel="0" collapsed="false">
      <c r="A18" s="3" t="s">
        <v>310</v>
      </c>
    </row>
    <row r="19" customFormat="false" ht="30" hidden="false" customHeight="true" outlineLevel="0" collapsed="false">
      <c r="A19" s="4" t="s">
        <v>311</v>
      </c>
      <c r="B19" s="4" t="s">
        <v>312</v>
      </c>
      <c r="C19" s="4" t="s">
        <v>313</v>
      </c>
      <c r="D19" s="4" t="s">
        <v>314</v>
      </c>
      <c r="E19" s="4"/>
      <c r="F19" s="4"/>
    </row>
    <row r="20" customFormat="false" ht="15" hidden="false" customHeight="false" outlineLevel="0" collapsed="false">
      <c r="A20" s="5" t="n">
        <v>15</v>
      </c>
      <c r="B20" s="5" t="s">
        <v>315</v>
      </c>
      <c r="C20" s="5" t="s">
        <v>316</v>
      </c>
      <c r="D20" s="5" t="n">
        <v>1.72</v>
      </c>
    </row>
    <row r="21" customFormat="false" ht="15" hidden="false" customHeight="false" outlineLevel="0" collapsed="false">
      <c r="A21" s="5" t="n">
        <v>20</v>
      </c>
      <c r="B21" s="5" t="s">
        <v>317</v>
      </c>
      <c r="C21" s="5" t="s">
        <v>316</v>
      </c>
      <c r="D21" s="5" t="n">
        <v>1.42</v>
      </c>
    </row>
    <row r="22" customFormat="false" ht="15" hidden="false" customHeight="false" outlineLevel="0" collapsed="false">
      <c r="A22" s="5" t="n">
        <v>25</v>
      </c>
      <c r="B22" s="5" t="s">
        <v>318</v>
      </c>
      <c r="C22" s="5" t="s">
        <v>319</v>
      </c>
      <c r="D22" s="5" t="n">
        <v>1.25</v>
      </c>
    </row>
    <row r="23" customFormat="false" ht="15" hidden="false" customHeight="false" outlineLevel="0" collapsed="false">
      <c r="A23" s="5" t="n">
        <v>30</v>
      </c>
      <c r="B23" s="5" t="s">
        <v>320</v>
      </c>
      <c r="C23" s="5" t="s">
        <v>321</v>
      </c>
      <c r="D23" s="5" t="n">
        <v>1.15</v>
      </c>
    </row>
    <row r="25" customFormat="false" ht="51.75" hidden="false" customHeight="true" outlineLevel="0" collapsed="false">
      <c r="A25" s="7" t="s">
        <v>322</v>
      </c>
      <c r="B25" s="7"/>
      <c r="C25" s="7"/>
      <c r="D25" s="7"/>
      <c r="E25" s="7"/>
      <c r="F25" s="7"/>
    </row>
  </sheetData>
  <mergeCells count="3">
    <mergeCell ref="A1:F1"/>
    <mergeCell ref="A2:F2"/>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26"/>
    <col collapsed="false" customWidth="true" hidden="false" outlineLevel="0" max="4" min="4" style="0" width="28"/>
    <col collapsed="false" customWidth="true" hidden="false" outlineLevel="0" max="6" min="5" style="0" width="3"/>
  </cols>
  <sheetData>
    <row r="1" customFormat="false" ht="21.75" hidden="false" customHeight="true" outlineLevel="0" collapsed="false">
      <c r="A1" s="1" t="s">
        <v>323</v>
      </c>
      <c r="B1" s="1"/>
      <c r="C1" s="1"/>
      <c r="D1" s="1"/>
      <c r="E1" s="1"/>
      <c r="F1" s="1"/>
    </row>
    <row r="2" customFormat="false" ht="42" hidden="false" customHeight="true" outlineLevel="0" collapsed="false">
      <c r="A2" s="2" t="s">
        <v>304</v>
      </c>
      <c r="B2" s="2"/>
      <c r="C2" s="2"/>
      <c r="D2" s="2"/>
      <c r="E2" s="2"/>
      <c r="F2" s="2"/>
    </row>
    <row r="4" customFormat="false" ht="30" hidden="false" customHeight="true" outlineLevel="0" collapsed="false">
      <c r="A4" s="4" t="s">
        <v>305</v>
      </c>
      <c r="B4" s="4" t="s">
        <v>306</v>
      </c>
      <c r="C4" s="4" t="s">
        <v>307</v>
      </c>
      <c r="D4" s="4" t="s">
        <v>308</v>
      </c>
      <c r="E4" s="4" t="s">
        <v>309</v>
      </c>
      <c r="F4" s="4"/>
    </row>
    <row r="5" customFormat="false" ht="15" hidden="false" customHeight="false" outlineLevel="0" collapsed="false">
      <c r="A5" s="12" t="n">
        <v>20</v>
      </c>
      <c r="B5" s="12" t="n">
        <v>1.9</v>
      </c>
      <c r="C5" s="12" t="n">
        <v>1.6</v>
      </c>
      <c r="D5" s="12" t="n">
        <v>1.42</v>
      </c>
      <c r="E5" s="12" t="n">
        <v>1.3</v>
      </c>
    </row>
    <row r="6" customFormat="false" ht="15" hidden="false" customHeight="false" outlineLevel="0" collapsed="false">
      <c r="A6" s="12" t="n">
        <v>25</v>
      </c>
      <c r="B6" s="12" t="n">
        <v>1.62</v>
      </c>
      <c r="C6" s="12" t="n">
        <v>1.35</v>
      </c>
      <c r="D6" s="12" t="n">
        <v>1.18</v>
      </c>
      <c r="E6" s="12" t="n">
        <v>1.08</v>
      </c>
    </row>
    <row r="7" customFormat="false" ht="15" hidden="false" customHeight="false" outlineLevel="0" collapsed="false">
      <c r="A7" s="12" t="n">
        <v>30</v>
      </c>
      <c r="B7" s="12" t="n">
        <v>1.45</v>
      </c>
      <c r="C7" s="12" t="n">
        <v>1.2</v>
      </c>
      <c r="D7" s="12" t="n">
        <v>1.03</v>
      </c>
      <c r="E7" s="12" t="n">
        <v>0.95</v>
      </c>
    </row>
    <row r="8" customFormat="false" ht="15" hidden="false" customHeight="false" outlineLevel="0" collapsed="false">
      <c r="A8" s="12" t="n">
        <v>35</v>
      </c>
      <c r="B8" s="12" t="n">
        <v>1.36</v>
      </c>
      <c r="C8" s="12" t="n">
        <v>1.1</v>
      </c>
      <c r="D8" s="12" t="n">
        <v>0.95</v>
      </c>
      <c r="E8" s="12" t="n">
        <v>0.86</v>
      </c>
    </row>
    <row r="9" customFormat="false" ht="15" hidden="false" customHeight="false" outlineLevel="0" collapsed="false">
      <c r="A9" s="12" t="n">
        <v>40</v>
      </c>
      <c r="B9" s="12" t="n">
        <v>1.3</v>
      </c>
      <c r="C9" s="12" t="n">
        <v>1.03</v>
      </c>
      <c r="D9" s="12" t="n">
        <v>0.88</v>
      </c>
      <c r="E9" s="12" t="n">
        <v>0.79</v>
      </c>
    </row>
    <row r="10" customFormat="false" ht="15" hidden="false" customHeight="false" outlineLevel="0" collapsed="false">
      <c r="A10" s="12" t="n">
        <v>45</v>
      </c>
      <c r="B10" s="12" t="n">
        <v>1.28</v>
      </c>
      <c r="C10" s="12" t="n">
        <v>1</v>
      </c>
      <c r="D10" s="12" t="n">
        <v>0.85</v>
      </c>
      <c r="E10" s="12" t="n">
        <v>0.75</v>
      </c>
    </row>
    <row r="11" customFormat="false" ht="15" hidden="false" customHeight="false" outlineLevel="0" collapsed="false">
      <c r="A11" s="12" t="n">
        <v>50</v>
      </c>
      <c r="B11" s="12" t="n">
        <v>1.27</v>
      </c>
      <c r="C11" s="12" t="n">
        <v>0.98</v>
      </c>
      <c r="D11" s="12" t="n">
        <v>0.83</v>
      </c>
      <c r="E11" s="12" t="n">
        <v>0.73</v>
      </c>
    </row>
    <row r="12" customFormat="false" ht="15" hidden="false" customHeight="false" outlineLevel="0" collapsed="false">
      <c r="A12" s="12" t="n">
        <v>55</v>
      </c>
      <c r="B12" s="12" t="n">
        <v>1.26</v>
      </c>
      <c r="C12" s="12" t="n">
        <v>0.96</v>
      </c>
      <c r="D12" s="12" t="n">
        <v>0.81</v>
      </c>
      <c r="E12" s="12" t="n">
        <v>0.71</v>
      </c>
    </row>
    <row r="13" customFormat="false" ht="15" hidden="false" customHeight="false" outlineLevel="0" collapsed="false">
      <c r="A13" s="12" t="n">
        <v>60</v>
      </c>
      <c r="B13" s="12" t="n">
        <v>1.26</v>
      </c>
      <c r="C13" s="12" t="n">
        <v>0.95</v>
      </c>
      <c r="D13" s="12" t="n">
        <v>0.8</v>
      </c>
      <c r="E13" s="12" t="n">
        <v>0.7</v>
      </c>
    </row>
    <row r="14" customFormat="false" ht="15" hidden="false" customHeight="false" outlineLevel="0" collapsed="false">
      <c r="A14" s="12" t="n">
        <v>65</v>
      </c>
      <c r="B14" s="12" t="n">
        <v>1.27</v>
      </c>
      <c r="C14" s="12" t="n">
        <v>0.94</v>
      </c>
      <c r="D14" s="12" t="n">
        <v>0.79</v>
      </c>
      <c r="E14" s="12" t="n">
        <v>0.69</v>
      </c>
    </row>
    <row r="15" customFormat="false" ht="15" hidden="false" customHeight="false" outlineLevel="0" collapsed="false">
      <c r="A15" s="12" t="n">
        <v>70</v>
      </c>
      <c r="B15" s="12" t="n">
        <v>1.3</v>
      </c>
      <c r="C15" s="12" t="n">
        <v>0.93</v>
      </c>
      <c r="D15" s="12" t="n">
        <v>0.78</v>
      </c>
      <c r="E15" s="12" t="n">
        <v>0.68</v>
      </c>
    </row>
    <row r="18" customFormat="false" ht="15" hidden="false" customHeight="false" outlineLevel="0" collapsed="false">
      <c r="A18" s="3" t="s">
        <v>310</v>
      </c>
    </row>
    <row r="19" customFormat="false" ht="30" hidden="false" customHeight="true" outlineLevel="0" collapsed="false">
      <c r="A19" s="4" t="s">
        <v>311</v>
      </c>
      <c r="B19" s="4" t="s">
        <v>312</v>
      </c>
      <c r="C19" s="4" t="s">
        <v>313</v>
      </c>
      <c r="D19" s="4" t="s">
        <v>314</v>
      </c>
      <c r="E19" s="4"/>
      <c r="F19" s="4"/>
    </row>
    <row r="20" customFormat="false" ht="15" hidden="false" customHeight="false" outlineLevel="0" collapsed="false">
      <c r="A20" s="5" t="n">
        <v>15</v>
      </c>
      <c r="B20" s="5" t="s">
        <v>324</v>
      </c>
      <c r="C20" s="5" t="s">
        <v>316</v>
      </c>
      <c r="D20" s="5" t="n">
        <v>1.45</v>
      </c>
    </row>
    <row r="21" customFormat="false" ht="15" hidden="false" customHeight="false" outlineLevel="0" collapsed="false">
      <c r="A21" s="5" t="n">
        <v>20</v>
      </c>
      <c r="B21" s="5" t="s">
        <v>325</v>
      </c>
      <c r="C21" s="5" t="s">
        <v>326</v>
      </c>
      <c r="D21" s="5" t="n">
        <v>1.2</v>
      </c>
    </row>
    <row r="22" customFormat="false" ht="15" hidden="false" customHeight="false" outlineLevel="0" collapsed="false">
      <c r="A22" s="5" t="n">
        <v>25</v>
      </c>
      <c r="B22" s="5" t="s">
        <v>327</v>
      </c>
      <c r="C22" s="5" t="s">
        <v>318</v>
      </c>
      <c r="D22" s="5" t="n">
        <v>1.03</v>
      </c>
    </row>
    <row r="23" customFormat="false" ht="15" hidden="false" customHeight="false" outlineLevel="0" collapsed="false">
      <c r="A23" s="5" t="n">
        <v>30</v>
      </c>
      <c r="B23" s="5" t="s">
        <v>328</v>
      </c>
      <c r="C23" s="5" t="s">
        <v>329</v>
      </c>
      <c r="D23" s="5" t="n">
        <v>0.95</v>
      </c>
    </row>
    <row r="25" customFormat="false" ht="39" hidden="false" customHeight="true" outlineLevel="0" collapsed="false">
      <c r="A25" s="7" t="s">
        <v>330</v>
      </c>
      <c r="B25" s="7"/>
      <c r="C25" s="7"/>
      <c r="D25" s="7"/>
      <c r="E25" s="7"/>
      <c r="F25" s="7"/>
    </row>
  </sheetData>
  <mergeCells count="3">
    <mergeCell ref="A1:F1"/>
    <mergeCell ref="A2:F2"/>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0"/>
    <col collapsed="false" customWidth="true" hidden="false" outlineLevel="0" max="4" min="4" style="0" width="40"/>
    <col collapsed="false" customWidth="true" hidden="false" outlineLevel="0" max="8" min="5" style="0" width="3"/>
  </cols>
  <sheetData>
    <row r="1" customFormat="false" ht="21.75" hidden="false" customHeight="true" outlineLevel="0" collapsed="false">
      <c r="A1" s="1" t="s">
        <v>331</v>
      </c>
      <c r="B1" s="1"/>
      <c r="C1" s="1"/>
      <c r="D1" s="1"/>
      <c r="E1" s="1"/>
      <c r="F1" s="1"/>
      <c r="G1" s="1"/>
      <c r="H1" s="1"/>
    </row>
    <row r="2" customFormat="false" ht="42" hidden="false" customHeight="true" outlineLevel="0" collapsed="false">
      <c r="A2" s="2" t="s">
        <v>332</v>
      </c>
      <c r="B2" s="2"/>
      <c r="C2" s="2"/>
      <c r="D2" s="2"/>
      <c r="E2" s="2"/>
      <c r="F2" s="2"/>
      <c r="G2" s="2"/>
      <c r="H2" s="2"/>
    </row>
    <row r="4" customFormat="false" ht="30" hidden="false" customHeight="true" outlineLevel="0" collapsed="false">
      <c r="A4" s="4" t="s">
        <v>333</v>
      </c>
      <c r="B4" s="4" t="s">
        <v>334</v>
      </c>
      <c r="C4" s="4" t="s">
        <v>335</v>
      </c>
      <c r="D4" s="4" t="s">
        <v>336</v>
      </c>
      <c r="E4" s="4" t="s">
        <v>337</v>
      </c>
      <c r="F4" s="4" t="s">
        <v>338</v>
      </c>
      <c r="G4" s="4" t="s">
        <v>339</v>
      </c>
      <c r="H4" s="4" t="s">
        <v>340</v>
      </c>
    </row>
    <row r="5" customFormat="false" ht="348.5" hidden="false" customHeight="false" outlineLevel="0" collapsed="false">
      <c r="A5" s="23" t="s">
        <v>341</v>
      </c>
      <c r="B5" s="23" t="s">
        <v>342</v>
      </c>
      <c r="C5" s="23" t="s">
        <v>343</v>
      </c>
      <c r="D5" s="23" t="s">
        <v>344</v>
      </c>
      <c r="E5" s="23"/>
      <c r="F5" s="24"/>
      <c r="G5" s="25" t="n">
        <v>1.24</v>
      </c>
      <c r="H5" s="26" t="s">
        <v>345</v>
      </c>
    </row>
    <row r="6" customFormat="false" ht="15" hidden="false" customHeight="false" outlineLevel="0" collapsed="false">
      <c r="A6" s="5" t="s">
        <v>341</v>
      </c>
      <c r="B6" s="5" t="s">
        <v>342</v>
      </c>
      <c r="C6" s="5" t="s">
        <v>346</v>
      </c>
      <c r="D6" s="5" t="s">
        <v>347</v>
      </c>
      <c r="E6" s="5" t="n">
        <v>346</v>
      </c>
      <c r="F6" s="15" t="n">
        <v>1.242</v>
      </c>
      <c r="G6" s="12"/>
      <c r="H6" s="6"/>
    </row>
    <row r="7" customFormat="false" ht="15" hidden="false" customHeight="false" outlineLevel="0" collapsed="false">
      <c r="A7" s="5" t="s">
        <v>341</v>
      </c>
      <c r="B7" s="5" t="s">
        <v>342</v>
      </c>
      <c r="C7" s="5" t="s">
        <v>346</v>
      </c>
      <c r="D7" s="5" t="s">
        <v>348</v>
      </c>
      <c r="E7" s="5" t="n">
        <v>330</v>
      </c>
      <c r="F7" s="15" t="n">
        <v>1.243</v>
      </c>
      <c r="G7" s="12"/>
      <c r="H7" s="6"/>
    </row>
    <row r="8" customFormat="false" ht="15" hidden="false" customHeight="false" outlineLevel="0" collapsed="false">
      <c r="A8" s="5" t="s">
        <v>341</v>
      </c>
      <c r="B8" s="5" t="s">
        <v>342</v>
      </c>
      <c r="C8" s="5" t="s">
        <v>346</v>
      </c>
      <c r="D8" s="5" t="s">
        <v>349</v>
      </c>
      <c r="E8" s="5" t="n">
        <v>326</v>
      </c>
      <c r="F8" s="15" t="n">
        <v>1.264</v>
      </c>
      <c r="G8" s="12"/>
      <c r="H8" s="6"/>
    </row>
    <row r="9" customFormat="false" ht="15" hidden="false" customHeight="false" outlineLevel="0" collapsed="false">
      <c r="A9" s="5" t="s">
        <v>341</v>
      </c>
      <c r="B9" s="5" t="s">
        <v>342</v>
      </c>
      <c r="C9" s="5" t="s">
        <v>346</v>
      </c>
      <c r="D9" s="5" t="s">
        <v>350</v>
      </c>
      <c r="E9" s="5" t="n">
        <v>317</v>
      </c>
      <c r="F9" s="15" t="n">
        <v>1.29</v>
      </c>
      <c r="G9" s="12"/>
      <c r="H9" s="6"/>
    </row>
    <row r="10" customFormat="false" ht="202.95" hidden="false" customHeight="false" outlineLevel="0" collapsed="false">
      <c r="A10" s="5" t="s">
        <v>341</v>
      </c>
      <c r="B10" s="5" t="s">
        <v>342</v>
      </c>
      <c r="C10" s="5" t="s">
        <v>346</v>
      </c>
      <c r="D10" s="5" t="s">
        <v>351</v>
      </c>
      <c r="E10" s="5" t="n">
        <v>310</v>
      </c>
      <c r="F10" s="15" t="n">
        <v>1.315</v>
      </c>
      <c r="G10" s="12" t="n">
        <v>1.32</v>
      </c>
      <c r="H10" s="6" t="s">
        <v>352</v>
      </c>
    </row>
    <row r="11" customFormat="false" ht="326.1" hidden="false" customHeight="false" outlineLevel="0" collapsed="false">
      <c r="A11" s="23" t="s">
        <v>353</v>
      </c>
      <c r="B11" s="23" t="s">
        <v>354</v>
      </c>
      <c r="C11" s="23" t="s">
        <v>343</v>
      </c>
      <c r="D11" s="23" t="s">
        <v>344</v>
      </c>
      <c r="E11" s="23"/>
      <c r="F11" s="24"/>
      <c r="G11" s="25" t="n">
        <v>0.82</v>
      </c>
      <c r="H11" s="26" t="s">
        <v>355</v>
      </c>
    </row>
    <row r="12" customFormat="false" ht="15" hidden="false" customHeight="false" outlineLevel="0" collapsed="false">
      <c r="A12" s="5" t="s">
        <v>353</v>
      </c>
      <c r="B12" s="5" t="s">
        <v>354</v>
      </c>
      <c r="C12" s="5" t="s">
        <v>346</v>
      </c>
      <c r="D12" s="5" t="s">
        <v>347</v>
      </c>
      <c r="E12" s="5" t="n">
        <v>344</v>
      </c>
      <c r="F12" s="15" t="n">
        <v>0.897</v>
      </c>
      <c r="G12" s="12"/>
      <c r="H12" s="6"/>
    </row>
    <row r="13" customFormat="false" ht="15" hidden="false" customHeight="false" outlineLevel="0" collapsed="false">
      <c r="A13" s="5" t="s">
        <v>353</v>
      </c>
      <c r="B13" s="5" t="s">
        <v>354</v>
      </c>
      <c r="C13" s="5" t="s">
        <v>346</v>
      </c>
      <c r="D13" s="5" t="s">
        <v>348</v>
      </c>
      <c r="E13" s="5" t="n">
        <v>334</v>
      </c>
      <c r="F13" s="15" t="n">
        <v>0.985</v>
      </c>
      <c r="G13" s="12"/>
      <c r="H13" s="6"/>
    </row>
    <row r="14" customFormat="false" ht="15" hidden="false" customHeight="false" outlineLevel="0" collapsed="false">
      <c r="A14" s="5" t="s">
        <v>353</v>
      </c>
      <c r="B14" s="5" t="s">
        <v>354</v>
      </c>
      <c r="C14" s="5" t="s">
        <v>346</v>
      </c>
      <c r="D14" s="5" t="s">
        <v>349</v>
      </c>
      <c r="E14" s="5" t="n">
        <v>330</v>
      </c>
      <c r="F14" s="15" t="n">
        <v>1.056</v>
      </c>
      <c r="G14" s="12"/>
      <c r="H14" s="6"/>
    </row>
    <row r="15" customFormat="false" ht="202.95" hidden="false" customHeight="false" outlineLevel="0" collapsed="false">
      <c r="A15" s="5" t="s">
        <v>353</v>
      </c>
      <c r="B15" s="5" t="s">
        <v>354</v>
      </c>
      <c r="C15" s="5" t="s">
        <v>346</v>
      </c>
      <c r="D15" s="5" t="s">
        <v>350</v>
      </c>
      <c r="E15" s="5" t="n">
        <v>302</v>
      </c>
      <c r="F15" s="15" t="n">
        <v>1.318</v>
      </c>
      <c r="G15" s="12" t="n">
        <v>1.32</v>
      </c>
      <c r="H15" s="6" t="s">
        <v>356</v>
      </c>
    </row>
    <row r="16" customFormat="false" ht="270.1" hidden="false" customHeight="false" outlineLevel="0" collapsed="false">
      <c r="A16" s="23" t="s">
        <v>357</v>
      </c>
      <c r="B16" s="23" t="s">
        <v>358</v>
      </c>
      <c r="C16" s="23" t="s">
        <v>343</v>
      </c>
      <c r="D16" s="23" t="s">
        <v>344</v>
      </c>
      <c r="E16" s="23"/>
      <c r="F16" s="24"/>
      <c r="G16" s="25" t="n">
        <v>1.01</v>
      </c>
      <c r="H16" s="26" t="s">
        <v>359</v>
      </c>
    </row>
    <row r="17" customFormat="false" ht="180.55" hidden="false" customHeight="false" outlineLevel="0" collapsed="false">
      <c r="A17" s="5" t="s">
        <v>357</v>
      </c>
      <c r="B17" s="5" t="s">
        <v>358</v>
      </c>
      <c r="C17" s="5" t="s">
        <v>360</v>
      </c>
      <c r="D17" s="5" t="s">
        <v>63</v>
      </c>
      <c r="E17" s="5"/>
      <c r="F17" s="15"/>
      <c r="G17" s="12" t="n">
        <v>1.09</v>
      </c>
      <c r="H17" s="6" t="s">
        <v>361</v>
      </c>
    </row>
    <row r="18" customFormat="false" ht="15" hidden="false" customHeight="false" outlineLevel="0" collapsed="false">
      <c r="A18" s="5" t="s">
        <v>357</v>
      </c>
      <c r="B18" s="5" t="s">
        <v>358</v>
      </c>
      <c r="C18" s="5" t="s">
        <v>362</v>
      </c>
      <c r="D18" s="5" t="s">
        <v>363</v>
      </c>
      <c r="E18" s="5"/>
      <c r="F18" s="15" t="n">
        <v>1.256</v>
      </c>
      <c r="G18" s="12" t="n">
        <v>1.26</v>
      </c>
      <c r="H18" s="6"/>
    </row>
    <row r="19" customFormat="false" ht="79.85" hidden="false" customHeight="false" outlineLevel="0" collapsed="false">
      <c r="A19" s="5" t="s">
        <v>357</v>
      </c>
      <c r="B19" s="5" t="s">
        <v>358</v>
      </c>
      <c r="C19" s="5" t="s">
        <v>362</v>
      </c>
      <c r="D19" s="5" t="s">
        <v>364</v>
      </c>
      <c r="E19" s="5"/>
      <c r="F19" s="15" t="n">
        <v>1.688</v>
      </c>
      <c r="G19" s="12" t="n">
        <v>1.69</v>
      </c>
      <c r="H19" s="6" t="s">
        <v>365</v>
      </c>
    </row>
    <row r="20" customFormat="false" ht="91" hidden="false" customHeight="false" outlineLevel="0" collapsed="false">
      <c r="A20" s="23" t="s">
        <v>366</v>
      </c>
      <c r="B20" s="23" t="s">
        <v>367</v>
      </c>
      <c r="C20" s="23" t="s">
        <v>343</v>
      </c>
      <c r="D20" s="23" t="s">
        <v>344</v>
      </c>
      <c r="E20" s="23"/>
      <c r="F20" s="24"/>
      <c r="G20" s="25" t="n">
        <v>0.94</v>
      </c>
      <c r="H20" s="26" t="s">
        <v>368</v>
      </c>
    </row>
    <row r="21" customFormat="false" ht="46.25" hidden="false" customHeight="false" outlineLevel="0" collapsed="false">
      <c r="A21" s="5" t="s">
        <v>366</v>
      </c>
      <c r="B21" s="5" t="s">
        <v>367</v>
      </c>
      <c r="C21" s="5" t="s">
        <v>346</v>
      </c>
      <c r="D21" s="5" t="s">
        <v>63</v>
      </c>
      <c r="E21" s="5"/>
      <c r="F21" s="15"/>
      <c r="G21" s="12" t="n">
        <v>1.08</v>
      </c>
      <c r="H21" s="6" t="s">
        <v>369</v>
      </c>
    </row>
    <row r="22" customFormat="false" ht="15" hidden="false" customHeight="false" outlineLevel="0" collapsed="false">
      <c r="A22" s="5" t="s">
        <v>366</v>
      </c>
      <c r="B22" s="5" t="s">
        <v>367</v>
      </c>
      <c r="C22" s="5" t="s">
        <v>362</v>
      </c>
      <c r="D22" s="5" t="s">
        <v>363</v>
      </c>
      <c r="E22" s="5"/>
      <c r="F22" s="15" t="n">
        <v>1.059</v>
      </c>
      <c r="G22" s="12"/>
      <c r="H22" s="6"/>
    </row>
    <row r="23" customFormat="false" ht="15" hidden="false" customHeight="false" outlineLevel="0" collapsed="false">
      <c r="A23" s="5" t="s">
        <v>366</v>
      </c>
      <c r="B23" s="5" t="s">
        <v>367</v>
      </c>
      <c r="C23" s="5" t="s">
        <v>362</v>
      </c>
      <c r="D23" s="5" t="s">
        <v>364</v>
      </c>
      <c r="E23" s="5"/>
      <c r="F23" s="15" t="n">
        <v>1.342</v>
      </c>
      <c r="G23" s="12"/>
      <c r="H23" s="6"/>
    </row>
    <row r="24" customFormat="false" ht="15" hidden="false" customHeight="false" outlineLevel="0" collapsed="false">
      <c r="A24" s="5" t="s">
        <v>366</v>
      </c>
      <c r="B24" s="5" t="s">
        <v>367</v>
      </c>
      <c r="C24" s="5" t="s">
        <v>362</v>
      </c>
      <c r="D24" s="5" t="s">
        <v>370</v>
      </c>
      <c r="E24" s="5"/>
      <c r="F24" s="15" t="n">
        <v>1.82</v>
      </c>
      <c r="G24" s="12"/>
      <c r="H24" s="6"/>
    </row>
    <row r="25" customFormat="false" ht="113.4" hidden="false" customHeight="false" outlineLevel="0" collapsed="false">
      <c r="A25" s="5" t="s">
        <v>366</v>
      </c>
      <c r="B25" s="5" t="s">
        <v>367</v>
      </c>
      <c r="C25" s="5" t="s">
        <v>371</v>
      </c>
      <c r="D25" s="5" t="s">
        <v>372</v>
      </c>
      <c r="E25" s="5"/>
      <c r="F25" s="15"/>
      <c r="G25" s="12" t="n">
        <v>1.3</v>
      </c>
      <c r="H25" s="6" t="s">
        <v>373</v>
      </c>
    </row>
    <row r="26" customFormat="false" ht="494" hidden="false" customHeight="false" outlineLevel="0" collapsed="false">
      <c r="A26" s="23" t="s">
        <v>374</v>
      </c>
      <c r="B26" s="23" t="s">
        <v>375</v>
      </c>
      <c r="C26" s="23" t="s">
        <v>376</v>
      </c>
      <c r="D26" s="23" t="s">
        <v>344</v>
      </c>
      <c r="E26" s="23"/>
      <c r="F26" s="24"/>
      <c r="G26" s="25" t="n">
        <v>1.19</v>
      </c>
      <c r="H26" s="26" t="s">
        <v>377</v>
      </c>
    </row>
    <row r="27" customFormat="false" ht="91" hidden="false" customHeight="false" outlineLevel="0" collapsed="false">
      <c r="A27" s="5" t="s">
        <v>374</v>
      </c>
      <c r="B27" s="5" t="s">
        <v>375</v>
      </c>
      <c r="C27" s="5" t="s">
        <v>378</v>
      </c>
      <c r="D27" s="5" t="s">
        <v>347</v>
      </c>
      <c r="E27" s="5"/>
      <c r="F27" s="15" t="n">
        <v>0.744</v>
      </c>
      <c r="G27" s="12"/>
      <c r="H27" s="6" t="s">
        <v>379</v>
      </c>
    </row>
    <row r="28" customFormat="false" ht="91" hidden="false" customHeight="false" outlineLevel="0" collapsed="false">
      <c r="A28" s="5" t="s">
        <v>374</v>
      </c>
      <c r="B28" s="5" t="s">
        <v>375</v>
      </c>
      <c r="C28" s="5" t="s">
        <v>378</v>
      </c>
      <c r="D28" s="5" t="s">
        <v>348</v>
      </c>
      <c r="E28" s="5"/>
      <c r="F28" s="15" t="n">
        <v>0.707</v>
      </c>
      <c r="G28" s="12"/>
      <c r="H28" s="6" t="s">
        <v>379</v>
      </c>
    </row>
    <row r="29" customFormat="false" ht="214.15" hidden="false" customHeight="false" outlineLevel="0" collapsed="false">
      <c r="A29" s="5" t="s">
        <v>374</v>
      </c>
      <c r="B29" s="5" t="s">
        <v>375</v>
      </c>
      <c r="C29" s="5" t="s">
        <v>362</v>
      </c>
      <c r="D29" s="5" t="s">
        <v>370</v>
      </c>
      <c r="E29" s="5"/>
      <c r="F29" s="15" t="n">
        <v>1.25</v>
      </c>
      <c r="G29" s="12"/>
      <c r="H29" s="6" t="s">
        <v>380</v>
      </c>
    </row>
    <row r="30" customFormat="false" ht="147" hidden="false" customHeight="false" outlineLevel="0" collapsed="false">
      <c r="A30" s="5" t="s">
        <v>374</v>
      </c>
      <c r="B30" s="5" t="s">
        <v>375</v>
      </c>
      <c r="C30" s="5" t="s">
        <v>362</v>
      </c>
      <c r="D30" s="5" t="s">
        <v>381</v>
      </c>
      <c r="E30" s="5"/>
      <c r="F30" s="15" t="n">
        <v>1.346</v>
      </c>
      <c r="G30" s="12"/>
      <c r="H30" s="6" t="s">
        <v>382</v>
      </c>
    </row>
    <row r="33" customFormat="false" ht="15" hidden="false" customHeight="false" outlineLevel="0" collapsed="false">
      <c r="A33" s="3" t="s">
        <v>383</v>
      </c>
    </row>
    <row r="34" customFormat="false" ht="30" hidden="false" customHeight="true" outlineLevel="0" collapsed="false">
      <c r="A34" s="4" t="s">
        <v>334</v>
      </c>
      <c r="B34" s="4" t="s">
        <v>384</v>
      </c>
      <c r="C34" s="4" t="s">
        <v>385</v>
      </c>
      <c r="D34" s="4" t="s">
        <v>340</v>
      </c>
      <c r="E34" s="4"/>
      <c r="F34" s="4"/>
      <c r="G34" s="4"/>
      <c r="H34" s="4"/>
    </row>
    <row r="35" customFormat="false" ht="15" hidden="false" customHeight="false" outlineLevel="0" collapsed="false">
      <c r="A35" s="5" t="s">
        <v>386</v>
      </c>
      <c r="B35" s="5" t="s">
        <v>387</v>
      </c>
      <c r="C35" s="12" t="n">
        <v>0.74</v>
      </c>
      <c r="D35" s="6" t="s">
        <v>388</v>
      </c>
    </row>
    <row r="36" customFormat="false" ht="15" hidden="false" customHeight="false" outlineLevel="0" collapsed="false">
      <c r="A36" s="5" t="s">
        <v>389</v>
      </c>
      <c r="B36" s="5" t="s">
        <v>387</v>
      </c>
      <c r="C36" s="12" t="n">
        <v>0.84</v>
      </c>
      <c r="D36" s="6"/>
    </row>
    <row r="37" customFormat="false" ht="15" hidden="false" customHeight="false" outlineLevel="0" collapsed="false">
      <c r="A37" s="5" t="s">
        <v>390</v>
      </c>
      <c r="B37" s="5" t="s">
        <v>387</v>
      </c>
      <c r="C37" s="12" t="n">
        <v>0.87</v>
      </c>
      <c r="D37" s="6"/>
    </row>
    <row r="38" customFormat="false" ht="15" hidden="false" customHeight="false" outlineLevel="0" collapsed="false">
      <c r="A38" s="5" t="s">
        <v>391</v>
      </c>
      <c r="B38" s="5" t="s">
        <v>387</v>
      </c>
      <c r="C38" s="12" t="n">
        <v>1.16</v>
      </c>
      <c r="D38" s="6"/>
    </row>
    <row r="39" customFormat="false" ht="15" hidden="false" customHeight="false" outlineLevel="0" collapsed="false">
      <c r="A39" s="5" t="s">
        <v>386</v>
      </c>
      <c r="B39" s="5" t="s">
        <v>392</v>
      </c>
      <c r="C39" s="12" t="n">
        <v>1.28</v>
      </c>
      <c r="D39" s="6" t="s">
        <v>393</v>
      </c>
    </row>
    <row r="42" customFormat="false" ht="64.5" hidden="false" customHeight="true" outlineLevel="0" collapsed="false">
      <c r="A42" s="7" t="s">
        <v>394</v>
      </c>
      <c r="B42" s="7"/>
      <c r="C42" s="7"/>
      <c r="D42" s="7"/>
      <c r="E42" s="7"/>
      <c r="F42" s="7"/>
      <c r="G42" s="7"/>
      <c r="H42" s="7"/>
    </row>
  </sheetData>
  <mergeCells count="3">
    <mergeCell ref="A1:H1"/>
    <mergeCell ref="A2:H2"/>
    <mergeCell ref="A42:H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4"/>
    <col collapsed="false" customWidth="true" hidden="false" outlineLevel="0" max="7" min="4" style="0" width="3"/>
  </cols>
  <sheetData>
    <row r="1" customFormat="false" ht="21.75" hidden="false" customHeight="true" outlineLevel="0" collapsed="false">
      <c r="A1" s="1" t="s">
        <v>395</v>
      </c>
      <c r="B1" s="1"/>
      <c r="C1" s="1"/>
      <c r="D1" s="1"/>
      <c r="E1" s="1"/>
      <c r="F1" s="1"/>
      <c r="G1" s="1"/>
    </row>
    <row r="2" customFormat="false" ht="42" hidden="false" customHeight="true" outlineLevel="0" collapsed="false">
      <c r="A2" s="2" t="s">
        <v>396</v>
      </c>
      <c r="B2" s="2"/>
      <c r="C2" s="2"/>
      <c r="D2" s="2"/>
      <c r="E2" s="2"/>
      <c r="F2" s="2"/>
      <c r="G2" s="2"/>
    </row>
    <row r="4" customFormat="false" ht="15" hidden="false" customHeight="false" outlineLevel="0" collapsed="false">
      <c r="A4" s="3" t="s">
        <v>397</v>
      </c>
    </row>
    <row r="5" customFormat="false" ht="30" hidden="false" customHeight="true" outlineLevel="0" collapsed="false">
      <c r="A5" s="4" t="s">
        <v>333</v>
      </c>
      <c r="B5" s="4" t="s">
        <v>334</v>
      </c>
      <c r="C5" s="4" t="s">
        <v>398</v>
      </c>
      <c r="D5" s="4" t="s">
        <v>399</v>
      </c>
      <c r="E5" s="4" t="s">
        <v>400</v>
      </c>
      <c r="F5" s="4" t="s">
        <v>401</v>
      </c>
      <c r="G5" s="4"/>
    </row>
    <row r="6" customFormat="false" ht="15" hidden="false" customHeight="false" outlineLevel="0" collapsed="false">
      <c r="A6" s="5" t="s">
        <v>341</v>
      </c>
      <c r="B6" s="5" t="s">
        <v>342</v>
      </c>
      <c r="C6" s="5" t="s">
        <v>402</v>
      </c>
      <c r="D6" s="5" t="s">
        <v>403</v>
      </c>
      <c r="E6" s="5" t="s">
        <v>404</v>
      </c>
      <c r="F6" s="5" t="s">
        <v>405</v>
      </c>
    </row>
    <row r="7" customFormat="false" ht="15" hidden="false" customHeight="false" outlineLevel="0" collapsed="false">
      <c r="A7" s="5" t="s">
        <v>353</v>
      </c>
      <c r="B7" s="5" t="s">
        <v>354</v>
      </c>
      <c r="C7" s="5" t="s">
        <v>406</v>
      </c>
      <c r="D7" s="5" t="s">
        <v>407</v>
      </c>
      <c r="E7" s="5" t="s">
        <v>408</v>
      </c>
      <c r="F7" s="5" t="s">
        <v>409</v>
      </c>
    </row>
    <row r="8" customFormat="false" ht="15" hidden="false" customHeight="false" outlineLevel="0" collapsed="false">
      <c r="A8" s="5" t="s">
        <v>357</v>
      </c>
      <c r="B8" s="5" t="s">
        <v>358</v>
      </c>
      <c r="C8" s="5" t="s">
        <v>410</v>
      </c>
      <c r="D8" s="5" t="s">
        <v>411</v>
      </c>
      <c r="E8" s="5" t="s">
        <v>412</v>
      </c>
      <c r="F8" s="5" t="s">
        <v>409</v>
      </c>
    </row>
    <row r="9" customFormat="false" ht="15" hidden="false" customHeight="false" outlineLevel="0" collapsed="false">
      <c r="A9" s="5" t="s">
        <v>366</v>
      </c>
      <c r="B9" s="5" t="s">
        <v>367</v>
      </c>
      <c r="C9" s="5" t="s">
        <v>413</v>
      </c>
      <c r="D9" s="5" t="s">
        <v>414</v>
      </c>
      <c r="E9" s="5" t="s">
        <v>415</v>
      </c>
      <c r="F9" s="5" t="s">
        <v>416</v>
      </c>
    </row>
    <row r="10" customFormat="false" ht="15" hidden="false" customHeight="false" outlineLevel="0" collapsed="false">
      <c r="A10" s="5" t="s">
        <v>374</v>
      </c>
      <c r="B10" s="5" t="s">
        <v>375</v>
      </c>
      <c r="C10" s="5" t="s">
        <v>417</v>
      </c>
      <c r="D10" s="5" t="s">
        <v>418</v>
      </c>
      <c r="E10" s="5" t="s">
        <v>419</v>
      </c>
      <c r="F10" s="5" t="s">
        <v>420</v>
      </c>
    </row>
    <row r="13" customFormat="false" ht="15" hidden="false" customHeight="false" outlineLevel="0" collapsed="false">
      <c r="A13" s="27" t="s">
        <v>421</v>
      </c>
    </row>
    <row r="14" customFormat="false" ht="30" hidden="false" customHeight="true" outlineLevel="0" collapsed="false">
      <c r="A14" s="4" t="s">
        <v>422</v>
      </c>
      <c r="B14" s="4" t="s">
        <v>423</v>
      </c>
      <c r="C14" s="4" t="s">
        <v>424</v>
      </c>
      <c r="D14" s="4" t="s">
        <v>425</v>
      </c>
      <c r="E14" s="4"/>
      <c r="F14" s="4"/>
      <c r="G14" s="4"/>
    </row>
    <row r="15" customFormat="false" ht="27.75" hidden="false" customHeight="true" outlineLevel="0" collapsed="false">
      <c r="A15" s="5" t="s">
        <v>426</v>
      </c>
      <c r="B15" s="6" t="s">
        <v>427</v>
      </c>
      <c r="C15" s="5" t="s">
        <v>428</v>
      </c>
      <c r="D15" s="6" t="s">
        <v>429</v>
      </c>
    </row>
    <row r="16" customFormat="false" ht="27.75" hidden="false" customHeight="true" outlineLevel="0" collapsed="false">
      <c r="A16" s="5" t="s">
        <v>430</v>
      </c>
      <c r="B16" s="6" t="s">
        <v>431</v>
      </c>
      <c r="C16" s="5" t="s">
        <v>428</v>
      </c>
      <c r="D16" s="6" t="s">
        <v>432</v>
      </c>
    </row>
    <row r="17" customFormat="false" ht="27.75" hidden="false" customHeight="true" outlineLevel="0" collapsed="false">
      <c r="A17" s="5" t="s">
        <v>433</v>
      </c>
      <c r="B17" s="6" t="s">
        <v>434</v>
      </c>
      <c r="C17" s="5" t="s">
        <v>428</v>
      </c>
      <c r="D17" s="6" t="s">
        <v>435</v>
      </c>
    </row>
    <row r="18" customFormat="false" ht="27.75" hidden="false" customHeight="true" outlineLevel="0" collapsed="false">
      <c r="A18" s="5" t="s">
        <v>436</v>
      </c>
      <c r="B18" s="6" t="s">
        <v>437</v>
      </c>
      <c r="C18" s="5" t="s">
        <v>438</v>
      </c>
      <c r="D18" s="6" t="s">
        <v>439</v>
      </c>
    </row>
    <row r="19" customFormat="false" ht="27.75" hidden="false" customHeight="true" outlineLevel="0" collapsed="false">
      <c r="A19" s="5" t="s">
        <v>440</v>
      </c>
      <c r="B19" s="6" t="s">
        <v>441</v>
      </c>
      <c r="C19" s="5" t="s">
        <v>438</v>
      </c>
      <c r="D19" s="6" t="s">
        <v>442</v>
      </c>
    </row>
    <row r="20" customFormat="false" ht="27.75" hidden="false" customHeight="true" outlineLevel="0" collapsed="false">
      <c r="A20" s="5" t="s">
        <v>443</v>
      </c>
      <c r="B20" s="6" t="s">
        <v>444</v>
      </c>
      <c r="C20" s="5" t="s">
        <v>438</v>
      </c>
      <c r="D20" s="6" t="s">
        <v>445</v>
      </c>
    </row>
    <row r="23" customFormat="false" ht="15" hidden="false" customHeight="false" outlineLevel="0" collapsed="false">
      <c r="A23" s="3" t="s">
        <v>446</v>
      </c>
    </row>
    <row r="24" customFormat="false" ht="30" hidden="false" customHeight="true" outlineLevel="0" collapsed="false">
      <c r="A24" s="4" t="s">
        <v>333</v>
      </c>
      <c r="B24" s="4" t="s">
        <v>181</v>
      </c>
      <c r="C24" s="4" t="s">
        <v>447</v>
      </c>
      <c r="D24" s="4"/>
      <c r="E24" s="4"/>
      <c r="F24" s="4"/>
      <c r="G24" s="4"/>
    </row>
    <row r="25" customFormat="false" ht="15" hidden="false" customHeight="false" outlineLevel="0" collapsed="false">
      <c r="A25" s="5" t="s">
        <v>341</v>
      </c>
      <c r="B25" s="5" t="n">
        <v>0</v>
      </c>
      <c r="C25" s="5" t="n">
        <v>265</v>
      </c>
    </row>
    <row r="26" customFormat="false" ht="15" hidden="false" customHeight="false" outlineLevel="0" collapsed="false">
      <c r="A26" s="5" t="s">
        <v>341</v>
      </c>
      <c r="B26" s="5" t="n">
        <v>40</v>
      </c>
      <c r="C26" s="5" t="n">
        <v>292</v>
      </c>
    </row>
    <row r="27" customFormat="false" ht="15" hidden="false" customHeight="false" outlineLevel="0" collapsed="false">
      <c r="A27" s="5" t="s">
        <v>341</v>
      </c>
      <c r="B27" s="5" t="n">
        <v>80</v>
      </c>
      <c r="C27" s="5" t="n">
        <v>308</v>
      </c>
    </row>
    <row r="28" customFormat="false" ht="15" hidden="false" customHeight="false" outlineLevel="0" collapsed="false">
      <c r="A28" s="5" t="s">
        <v>341</v>
      </c>
      <c r="B28" s="5" t="n">
        <v>120</v>
      </c>
      <c r="C28" s="5" t="n">
        <v>320</v>
      </c>
    </row>
    <row r="29" customFormat="false" ht="15" hidden="false" customHeight="false" outlineLevel="0" collapsed="false">
      <c r="A29" s="5" t="s">
        <v>341</v>
      </c>
      <c r="B29" s="5" t="n">
        <v>160</v>
      </c>
      <c r="C29" s="5" t="n">
        <v>332</v>
      </c>
    </row>
    <row r="30" customFormat="false" ht="15" hidden="false" customHeight="false" outlineLevel="0" collapsed="false">
      <c r="A30" s="5" t="s">
        <v>341</v>
      </c>
      <c r="B30" s="5" t="n">
        <v>200</v>
      </c>
      <c r="C30" s="5" t="n">
        <v>344</v>
      </c>
    </row>
    <row r="31" customFormat="false" ht="15" hidden="false" customHeight="false" outlineLevel="0" collapsed="false">
      <c r="A31" s="5" t="s">
        <v>341</v>
      </c>
      <c r="B31" s="5" t="n">
        <v>250</v>
      </c>
      <c r="C31" s="5" t="n">
        <v>358</v>
      </c>
    </row>
    <row r="32" customFormat="false" ht="15" hidden="false" customHeight="false" outlineLevel="0" collapsed="false">
      <c r="A32" s="5" t="s">
        <v>341</v>
      </c>
      <c r="B32" s="5" t="n">
        <v>300</v>
      </c>
      <c r="C32" s="5" t="n">
        <v>372</v>
      </c>
    </row>
    <row r="33" customFormat="false" ht="15" hidden="false" customHeight="false" outlineLevel="0" collapsed="false">
      <c r="A33" s="5" t="s">
        <v>341</v>
      </c>
      <c r="B33" s="5" t="n">
        <v>340</v>
      </c>
      <c r="C33" s="5" t="n">
        <v>382</v>
      </c>
    </row>
    <row r="34" customFormat="false" ht="15" hidden="false" customHeight="false" outlineLevel="0" collapsed="false">
      <c r="A34" s="5" t="s">
        <v>353</v>
      </c>
      <c r="B34" s="5" t="n">
        <v>0</v>
      </c>
      <c r="C34" s="5" t="n">
        <v>278</v>
      </c>
    </row>
    <row r="35" customFormat="false" ht="15" hidden="false" customHeight="false" outlineLevel="0" collapsed="false">
      <c r="A35" s="5" t="s">
        <v>353</v>
      </c>
      <c r="B35" s="5" t="n">
        <v>40</v>
      </c>
      <c r="C35" s="5" t="n">
        <v>302</v>
      </c>
    </row>
    <row r="36" customFormat="false" ht="15" hidden="false" customHeight="false" outlineLevel="0" collapsed="false">
      <c r="A36" s="5" t="s">
        <v>353</v>
      </c>
      <c r="B36" s="5" t="n">
        <v>80</v>
      </c>
      <c r="C36" s="5" t="n">
        <v>322</v>
      </c>
    </row>
    <row r="37" customFormat="false" ht="15" hidden="false" customHeight="false" outlineLevel="0" collapsed="false">
      <c r="A37" s="5" t="s">
        <v>353</v>
      </c>
      <c r="B37" s="5" t="n">
        <v>120</v>
      </c>
      <c r="C37" s="5" t="n">
        <v>342</v>
      </c>
    </row>
    <row r="38" customFormat="false" ht="15" hidden="false" customHeight="false" outlineLevel="0" collapsed="false">
      <c r="A38" s="5" t="s">
        <v>353</v>
      </c>
      <c r="B38" s="5" t="n">
        <v>160</v>
      </c>
      <c r="C38" s="5" t="n">
        <v>362</v>
      </c>
    </row>
    <row r="39" customFormat="false" ht="15" hidden="false" customHeight="false" outlineLevel="0" collapsed="false">
      <c r="A39" s="5" t="s">
        <v>353</v>
      </c>
      <c r="B39" s="5" t="n">
        <v>200</v>
      </c>
      <c r="C39" s="5" t="n">
        <v>385</v>
      </c>
    </row>
    <row r="40" customFormat="false" ht="15" hidden="false" customHeight="false" outlineLevel="0" collapsed="false">
      <c r="A40" s="5" t="s">
        <v>353</v>
      </c>
      <c r="B40" s="5" t="n">
        <v>215</v>
      </c>
      <c r="C40" s="5" t="n">
        <v>395</v>
      </c>
    </row>
    <row r="41" customFormat="false" ht="15" hidden="false" customHeight="false" outlineLevel="0" collapsed="false">
      <c r="A41" s="5" t="s">
        <v>353</v>
      </c>
      <c r="B41" s="5" t="n">
        <v>250</v>
      </c>
      <c r="C41" s="5" t="n">
        <v>425</v>
      </c>
    </row>
    <row r="42" customFormat="false" ht="15" hidden="false" customHeight="false" outlineLevel="0" collapsed="false">
      <c r="A42" s="5" t="s">
        <v>353</v>
      </c>
      <c r="B42" s="5" t="n">
        <v>300</v>
      </c>
      <c r="C42" s="5" t="n">
        <v>448</v>
      </c>
    </row>
    <row r="43" customFormat="false" ht="15" hidden="false" customHeight="false" outlineLevel="0" collapsed="false">
      <c r="A43" s="5" t="s">
        <v>357</v>
      </c>
      <c r="B43" s="5" t="n">
        <v>0</v>
      </c>
      <c r="C43" s="5" t="n">
        <v>276</v>
      </c>
    </row>
    <row r="44" customFormat="false" ht="15" hidden="false" customHeight="false" outlineLevel="0" collapsed="false">
      <c r="A44" s="5" t="s">
        <v>357</v>
      </c>
      <c r="B44" s="5" t="n">
        <v>40</v>
      </c>
      <c r="C44" s="5" t="n">
        <v>296</v>
      </c>
    </row>
    <row r="45" customFormat="false" ht="15" hidden="false" customHeight="false" outlineLevel="0" collapsed="false">
      <c r="A45" s="5" t="s">
        <v>357</v>
      </c>
      <c r="B45" s="5" t="n">
        <v>80</v>
      </c>
      <c r="C45" s="5" t="n">
        <v>312</v>
      </c>
    </row>
    <row r="46" customFormat="false" ht="15" hidden="false" customHeight="false" outlineLevel="0" collapsed="false">
      <c r="A46" s="5" t="s">
        <v>357</v>
      </c>
      <c r="B46" s="5" t="n">
        <v>120</v>
      </c>
      <c r="C46" s="5" t="n">
        <v>328</v>
      </c>
    </row>
    <row r="47" customFormat="false" ht="15" hidden="false" customHeight="false" outlineLevel="0" collapsed="false">
      <c r="A47" s="5" t="s">
        <v>357</v>
      </c>
      <c r="B47" s="5" t="n">
        <v>160</v>
      </c>
      <c r="C47" s="5" t="n">
        <v>342</v>
      </c>
    </row>
    <row r="48" customFormat="false" ht="15" hidden="false" customHeight="false" outlineLevel="0" collapsed="false">
      <c r="A48" s="5" t="s">
        <v>357</v>
      </c>
      <c r="B48" s="5" t="n">
        <v>200</v>
      </c>
      <c r="C48" s="5" t="n">
        <v>358</v>
      </c>
    </row>
    <row r="49" customFormat="false" ht="15" hidden="false" customHeight="false" outlineLevel="0" collapsed="false">
      <c r="A49" s="5" t="s">
        <v>357</v>
      </c>
      <c r="B49" s="5" t="n">
        <v>225</v>
      </c>
      <c r="C49" s="5" t="n">
        <v>368</v>
      </c>
    </row>
    <row r="50" customFormat="false" ht="15" hidden="false" customHeight="false" outlineLevel="0" collapsed="false">
      <c r="A50" s="5" t="s">
        <v>366</v>
      </c>
      <c r="B50" s="5" t="n">
        <v>0</v>
      </c>
      <c r="C50" s="5" t="n">
        <v>272</v>
      </c>
    </row>
    <row r="51" customFormat="false" ht="15" hidden="false" customHeight="false" outlineLevel="0" collapsed="false">
      <c r="A51" s="5" t="s">
        <v>366</v>
      </c>
      <c r="B51" s="5" t="n">
        <v>40</v>
      </c>
      <c r="C51" s="5" t="n">
        <v>292</v>
      </c>
    </row>
    <row r="52" customFormat="false" ht="15" hidden="false" customHeight="false" outlineLevel="0" collapsed="false">
      <c r="A52" s="5" t="s">
        <v>366</v>
      </c>
      <c r="B52" s="5" t="n">
        <v>80</v>
      </c>
      <c r="C52" s="5" t="n">
        <v>308</v>
      </c>
    </row>
    <row r="53" customFormat="false" ht="15" hidden="false" customHeight="false" outlineLevel="0" collapsed="false">
      <c r="A53" s="5" t="s">
        <v>366</v>
      </c>
      <c r="B53" s="5" t="n">
        <v>120</v>
      </c>
      <c r="C53" s="5" t="n">
        <v>324</v>
      </c>
    </row>
    <row r="54" customFormat="false" ht="15" hidden="false" customHeight="false" outlineLevel="0" collapsed="false">
      <c r="A54" s="5" t="s">
        <v>366</v>
      </c>
      <c r="B54" s="5" t="n">
        <v>160</v>
      </c>
      <c r="C54" s="5" t="n">
        <v>340</v>
      </c>
    </row>
    <row r="55" customFormat="false" ht="15" hidden="false" customHeight="false" outlineLevel="0" collapsed="false">
      <c r="A55" s="5" t="s">
        <v>366</v>
      </c>
      <c r="B55" s="5" t="n">
        <v>200</v>
      </c>
      <c r="C55" s="5" t="n">
        <v>356</v>
      </c>
    </row>
    <row r="56" customFormat="false" ht="15" hidden="false" customHeight="false" outlineLevel="0" collapsed="false">
      <c r="A56" s="5" t="s">
        <v>366</v>
      </c>
      <c r="B56" s="5" t="n">
        <v>240</v>
      </c>
      <c r="C56" s="5" t="n">
        <v>370</v>
      </c>
    </row>
    <row r="57" customFormat="false" ht="15" hidden="false" customHeight="false" outlineLevel="0" collapsed="false">
      <c r="A57" s="5" t="s">
        <v>374</v>
      </c>
      <c r="B57" s="5" t="n">
        <v>0</v>
      </c>
      <c r="C57" s="5" t="n">
        <v>196</v>
      </c>
    </row>
    <row r="58" customFormat="false" ht="15" hidden="false" customHeight="false" outlineLevel="0" collapsed="false">
      <c r="A58" s="5" t="s">
        <v>374</v>
      </c>
      <c r="B58" s="5" t="n">
        <v>30</v>
      </c>
      <c r="C58" s="5" t="n">
        <v>212</v>
      </c>
    </row>
    <row r="59" customFormat="false" ht="15" hidden="false" customHeight="false" outlineLevel="0" collapsed="false">
      <c r="A59" s="5" t="s">
        <v>374</v>
      </c>
      <c r="B59" s="5" t="n">
        <v>60</v>
      </c>
      <c r="C59" s="5" t="n">
        <v>224</v>
      </c>
    </row>
    <row r="60" customFormat="false" ht="15" hidden="false" customHeight="false" outlineLevel="0" collapsed="false">
      <c r="A60" s="5" t="s">
        <v>374</v>
      </c>
      <c r="B60" s="5" t="n">
        <v>90</v>
      </c>
      <c r="C60" s="5" t="n">
        <v>236</v>
      </c>
    </row>
    <row r="61" customFormat="false" ht="15" hidden="false" customHeight="false" outlineLevel="0" collapsed="false">
      <c r="A61" s="5" t="s">
        <v>374</v>
      </c>
      <c r="B61" s="5" t="n">
        <v>120</v>
      </c>
      <c r="C61" s="5" t="n">
        <v>248</v>
      </c>
    </row>
    <row r="62" customFormat="false" ht="15" hidden="false" customHeight="false" outlineLevel="0" collapsed="false">
      <c r="A62" s="5" t="s">
        <v>374</v>
      </c>
      <c r="B62" s="5" t="n">
        <v>150</v>
      </c>
      <c r="C62" s="5" t="n">
        <v>258</v>
      </c>
    </row>
    <row r="63" customFormat="false" ht="15" hidden="false" customHeight="false" outlineLevel="0" collapsed="false">
      <c r="A63" s="5" t="s">
        <v>374</v>
      </c>
      <c r="B63" s="5" t="n">
        <v>180</v>
      </c>
      <c r="C63" s="5" t="n">
        <v>266</v>
      </c>
    </row>
    <row r="65" customFormat="false" ht="78" hidden="false" customHeight="true" outlineLevel="0" collapsed="false">
      <c r="A65" s="7" t="s">
        <v>448</v>
      </c>
      <c r="B65" s="7"/>
      <c r="C65" s="7"/>
      <c r="D65" s="7"/>
      <c r="E65" s="7"/>
      <c r="F65" s="7"/>
      <c r="G65" s="7"/>
    </row>
  </sheetData>
  <mergeCells count="3">
    <mergeCell ref="A1:G1"/>
    <mergeCell ref="A2:G2"/>
    <mergeCell ref="A65:G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2026-07-28T12:58:13Z</dcterms:created>
  <dc:creator>openpyxl</dc:creator>
  <dc:description/>
  <dc:language>en-US</dc:language>
  <cp:lastModifiedBy/>
  <dcterms:modified xsi:type="dcterms:W3CDTF">2026-07-28T12:58:13Z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